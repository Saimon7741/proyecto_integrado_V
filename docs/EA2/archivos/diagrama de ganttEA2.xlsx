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IUD\ing en software y datos\Noveno semestre\Proyecto integrado V\"/>
    </mc:Choice>
  </mc:AlternateContent>
  <xr:revisionPtr revIDLastSave="0" documentId="13_ncr:1_{37087880-1906-437A-B71A-D72F7FAC8699}" xr6:coauthVersionLast="47" xr6:coauthVersionMax="47" xr10:uidLastSave="{00000000-0000-0000-0000-000000000000}"/>
  <bookViews>
    <workbookView xWindow="-120" yWindow="-120" windowWidth="29040" windowHeight="16440" xr2:uid="{377FBAF4-28BC-4853-BCB5-4DBC4DD5D549}"/>
  </bookViews>
  <sheets>
    <sheet name="Hoja1" sheetId="1" r:id="rId1"/>
  </sheets>
  <definedNames>
    <definedName name="SegmentaciónDeDatos_Responsable">#N/A</definedName>
    <definedName name="SegmentaciónDeDatos_Sprint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K18" i="1"/>
  <c r="I18" i="1"/>
  <c r="F18" i="1"/>
  <c r="M17" i="1"/>
  <c r="K17" i="1"/>
  <c r="I17" i="1"/>
  <c r="F17" i="1"/>
  <c r="M16" i="1"/>
  <c r="K16" i="1"/>
  <c r="I16" i="1"/>
  <c r="F16" i="1"/>
  <c r="M15" i="1"/>
  <c r="K15" i="1"/>
  <c r="I15" i="1"/>
  <c r="F15" i="1"/>
  <c r="M14" i="1"/>
  <c r="K14" i="1"/>
  <c r="I14" i="1"/>
  <c r="F14" i="1"/>
  <c r="M13" i="1"/>
  <c r="K13" i="1"/>
  <c r="I13" i="1"/>
  <c r="G13" i="1"/>
  <c r="G9" i="1" s="1"/>
  <c r="F13" i="1"/>
  <c r="M12" i="1"/>
  <c r="K12" i="1"/>
  <c r="I12" i="1"/>
  <c r="F12" i="1"/>
  <c r="M11" i="1"/>
  <c r="K11" i="1"/>
  <c r="I11" i="1"/>
  <c r="F11" i="1"/>
  <c r="M10" i="1"/>
  <c r="K10" i="1"/>
  <c r="I10" i="1"/>
  <c r="F10" i="1"/>
  <c r="M9" i="1"/>
  <c r="K9" i="1"/>
  <c r="I9" i="1"/>
  <c r="F9" i="1"/>
  <c r="M8" i="1"/>
  <c r="K8" i="1"/>
  <c r="I8" i="1"/>
  <c r="F8" i="1"/>
  <c r="M7" i="1"/>
  <c r="K7" i="1"/>
  <c r="I7" i="1"/>
  <c r="F7" i="1"/>
  <c r="M6" i="1"/>
  <c r="K6" i="1"/>
  <c r="I6" i="1"/>
  <c r="F6" i="1"/>
  <c r="M5" i="1"/>
  <c r="K5" i="1"/>
  <c r="I5" i="1"/>
  <c r="F5" i="1"/>
  <c r="M4" i="1"/>
  <c r="K4" i="1"/>
  <c r="I4" i="1"/>
  <c r="G4" i="1"/>
  <c r="F4" i="1"/>
</calcChain>
</file>

<file path=xl/sharedStrings.xml><?xml version="1.0" encoding="utf-8"?>
<sst xmlns="http://schemas.openxmlformats.org/spreadsheetml/2006/main" count="75" uniqueCount="33">
  <si>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</si>
  <si>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</si>
  <si>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</si>
  <si>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</si>
  <si>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</si>
  <si>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</si>
  <si>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</si>
  <si>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</si>
  <si>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</si>
  <si>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</si>
  <si>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</si>
  <si>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Sprint</t>
  </si>
  <si>
    <t>Duracion Dias</t>
  </si>
  <si>
    <t>Rol</t>
  </si>
  <si>
    <t>Puntos</t>
  </si>
  <si>
    <t>Restante</t>
  </si>
  <si>
    <t>Simon</t>
  </si>
  <si>
    <t>Codigo</t>
  </si>
  <si>
    <t>Word</t>
  </si>
  <si>
    <t>Gantt</t>
  </si>
  <si>
    <t>Idea</t>
  </si>
  <si>
    <t>Mateo</t>
  </si>
  <si>
    <t>Entregable 3</t>
  </si>
  <si>
    <t>Actividad 3-1</t>
  </si>
  <si>
    <t>Actividad 3-2</t>
  </si>
  <si>
    <t>Actividad 3-3</t>
  </si>
  <si>
    <t>Actividad 3-4</t>
  </si>
  <si>
    <t>Actividad 3-5</t>
  </si>
  <si>
    <t>Limpieza de datos</t>
  </si>
  <si>
    <t>Visualizaciones</t>
  </si>
  <si>
    <t>Documentación</t>
  </si>
  <si>
    <t>Inicio proyecto</t>
  </si>
  <si>
    <t>Fin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</si>
</sst>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6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Hoja1!$C$4:$C$18</c:f>
              <c:strCache>
                <c:ptCount val="15"/>
                <c:pt idx="0">
                  <c:v>Entregable 1</c:v>
                </c:pt>
                <c:pt idx="1">
                  <c:v>Idea</c:v>
                </c:pt>
                <c:pt idx="2">
                  <c:v>Codigo</c:v>
                </c:pt>
                <c:pt idx="3">
                  <c:v>Word</c:v>
                </c:pt>
                <c:pt idx="4">
                  <c:v>Gantt</c:v>
                </c:pt>
                <c:pt idx="5">
                  <c:v>Entregable 2</c:v>
                </c:pt>
                <c:pt idx="6">
                  <c:v>Limpieza de datos</c:v>
                </c:pt>
                <c:pt idx="7">
                  <c:v>Visualizaciones</c:v>
                </c:pt>
                <c:pt idx="8">
                  <c:v>Documentación</c:v>
                </c:pt>
                <c:pt idx="9">
                  <c:v>Entregable 3</c:v>
                </c:pt>
                <c:pt idx="10">
                  <c:v>Actividad 3-1</c:v>
                </c:pt>
                <c:pt idx="11">
                  <c:v>Actividad 3-2</c:v>
                </c:pt>
                <c:pt idx="12">
                  <c:v>Actividad 3-3</c:v>
                </c:pt>
                <c:pt idx="13">
                  <c:v>Actividad 3-4</c:v>
                </c:pt>
                <c:pt idx="14">
                  <c:v>Actividad 3-5</c:v>
                </c:pt>
              </c:strCache>
            </c:strRef>
          </c:cat>
          <c:val>
            <c:numRef>
              <c:f>Hoja1!$J$4:$J$18</c:f>
              <c:numCache>
                <c:formatCode>m/d/yyyy</c:formatCode>
                <c:ptCount val="15"/>
                <c:pt idx="0">
                  <c:v>45962</c:v>
                </c:pt>
                <c:pt idx="1">
                  <c:v>45962</c:v>
                </c:pt>
                <c:pt idx="2">
                  <c:v>45963</c:v>
                </c:pt>
                <c:pt idx="3">
                  <c:v>45965</c:v>
                </c:pt>
                <c:pt idx="4">
                  <c:v>45965</c:v>
                </c:pt>
                <c:pt idx="5">
                  <c:v>45979</c:v>
                </c:pt>
                <c:pt idx="6">
                  <c:v>45979</c:v>
                </c:pt>
                <c:pt idx="7">
                  <c:v>45980</c:v>
                </c:pt>
                <c:pt idx="8">
                  <c:v>45982</c:v>
                </c:pt>
                <c:pt idx="9">
                  <c:v>45966</c:v>
                </c:pt>
                <c:pt idx="10">
                  <c:v>45967</c:v>
                </c:pt>
                <c:pt idx="11">
                  <c:v>45968</c:v>
                </c:pt>
                <c:pt idx="12">
                  <c:v>45969</c:v>
                </c:pt>
                <c:pt idx="13">
                  <c:v>45970</c:v>
                </c:pt>
                <c:pt idx="14">
                  <c:v>45971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A6-479D-AB25-0F775D383D8F}"/>
            </c:ext>
          </c:extLst>
        </c:ser>
        <c:ser>
          <c:idx val="1"/>
          <c:order val="1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0-4455-BC83-C86D30139C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4A6-479D-AB25-0F775D383D8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EB74EAD-9DF3-4529-A3E4-8472EA42438B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AF0-4455-BC83-C86D30139C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74D34E-6845-4E66-832A-3BC9022E4E28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4A6-479D-AB25-0F775D383D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F8633F-3F41-406C-A10E-3F6887E3B092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4A6-479D-AB25-0F775D383D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25B96CB-E5B7-437E-B2FA-20480740C1BE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4A6-479D-AB25-0F775D383D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E0A004-A5C8-4544-9FA7-9802C327F81A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4A6-479D-AB25-0F775D383D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7FD9F0B-AE1E-4EE1-9F9F-7752582962C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A6-479D-AB25-0F775D383D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487774-07AD-43D8-A75B-23FE3DD3737D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4A6-479D-AB25-0F775D383D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589A7D4-5796-4733-AB5B-2BC4C541B58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4A6-479D-AB25-0F775D383D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F63906-4D39-4C34-8416-CF2FAFBCFF9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4A6-479D-AB25-0F775D383D8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027A3EA-97F1-4ED9-AD30-C61AE6A5D18B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4A6-479D-AB25-0F775D383D8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D624889-7B1C-4528-861A-5554930D384D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4A6-479D-AB25-0F775D383D8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BCEF5FB-7DB1-4389-A2CC-3B6C8244557D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4A6-479D-AB25-0F775D383D8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C988BB8-679C-4F6F-9373-4B7D95796D7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4A6-479D-AB25-0F775D383D8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C9D4BA-D90A-4A22-8E5B-D152850FE5C5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4A6-479D-AB25-0F775D383D8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841D744-D7F3-446B-887F-F62104A2B259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4A6-479D-AB25-0F775D383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Hoja1!$C$4:$C$18</c:f>
              <c:strCache>
                <c:ptCount val="15"/>
                <c:pt idx="0">
                  <c:v>Entregable 1</c:v>
                </c:pt>
                <c:pt idx="1">
                  <c:v>Idea</c:v>
                </c:pt>
                <c:pt idx="2">
                  <c:v>Codigo</c:v>
                </c:pt>
                <c:pt idx="3">
                  <c:v>Word</c:v>
                </c:pt>
                <c:pt idx="4">
                  <c:v>Gantt</c:v>
                </c:pt>
                <c:pt idx="5">
                  <c:v>Entregable 2</c:v>
                </c:pt>
                <c:pt idx="6">
                  <c:v>Limpieza de datos</c:v>
                </c:pt>
                <c:pt idx="7">
                  <c:v>Visualizaciones</c:v>
                </c:pt>
                <c:pt idx="8">
                  <c:v>Documentación</c:v>
                </c:pt>
                <c:pt idx="9">
                  <c:v>Entregable 3</c:v>
                </c:pt>
                <c:pt idx="10">
                  <c:v>Actividad 3-1</c:v>
                </c:pt>
                <c:pt idx="11">
                  <c:v>Actividad 3-2</c:v>
                </c:pt>
                <c:pt idx="12">
                  <c:v>Actividad 3-3</c:v>
                </c:pt>
                <c:pt idx="13">
                  <c:v>Actividad 3-4</c:v>
                </c:pt>
                <c:pt idx="14">
                  <c:v>Actividad 3-5</c:v>
                </c:pt>
              </c:strCache>
            </c:strRef>
          </c:cat>
          <c:val>
            <c:numRef>
              <c:f>Hoja1!$L$4:$L$18</c:f>
              <c:numCache>
                <c:formatCode>General</c:formatCode>
                <c:ptCount val="15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Hoja1!$H$4:$H$18</c15:f>
                <c15:dlblRangeCache>
                  <c:ptCount val="15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0%</c:v>
                  </c:pt>
                  <c:pt idx="10">
                    <c:v>0%</c:v>
                  </c:pt>
                  <c:pt idx="11">
                    <c:v>0%</c:v>
                  </c:pt>
                  <c:pt idx="12">
                    <c:v>0%</c:v>
                  </c:pt>
                  <c:pt idx="13">
                    <c:v>0%</c:v>
                  </c:pt>
                  <c:pt idx="14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4A6-479D-AB25-0F775D38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154554767"/>
        <c:axId val="1154556207"/>
      </c:barChart>
      <c:catAx>
        <c:axId val="1154554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6207"/>
        <c:crosses val="autoZero"/>
        <c:auto val="1"/>
        <c:lblAlgn val="ctr"/>
        <c:lblOffset val="100"/>
        <c:noMultiLvlLbl val="0"/>
      </c:catAx>
      <c:valAx>
        <c:axId val="1154556207"/>
        <c:scaling>
          <c:orientation val="minMax"/>
          <c:max val="45998"/>
          <c:min val="459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4767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523875</xdr:colOff>
      <xdr:row>0</xdr:row>
      <xdr:rowOff>3486148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20D8F-95A0-E15D-1A5F-0FA90E4D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571500</xdr:colOff>
      <xdr:row>0</xdr:row>
      <xdr:rowOff>104775</xdr:rowOff>
    </xdr:from>
    <xdr:to>
      <xdr:col>12</xdr:col>
      <xdr:colOff>876300</xdr:colOff>
      <xdr:row>0</xdr:row>
      <xdr:rowOff>1514475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1828" y="104775"/>
              <a:ext cx="211455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285750</xdr:colOff>
      <xdr:row>0</xdr:row>
      <xdr:rowOff>1933575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9400442" y="1933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 b="1"/>
        </a:p>
      </xdr:txBody>
    </xdr:sp>
    <xdr:clientData/>
  </xdr:oneCellAnchor>
  <xdr:twoCellAnchor>
    <xdr:from>
      <xdr:col>10</xdr:col>
      <xdr:colOff>576263</xdr:colOff>
      <xdr:row>0</xdr:row>
      <xdr:rowOff>2494359</xdr:rowOff>
    </xdr:from>
    <xdr:to>
      <xdr:col>12</xdr:col>
      <xdr:colOff>828675</xdr:colOff>
      <xdr:row>1</xdr:row>
      <xdr:rowOff>95249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CF8A926-3541-0EA5-4235-040656BA2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3516923</xdr:rowOff>
    </xdr:from>
    <xdr:to>
      <xdr:col>10</xdr:col>
      <xdr:colOff>505558</xdr:colOff>
      <xdr:row>0</xdr:row>
      <xdr:rowOff>4330211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16923"/>
              <a:ext cx="8858250" cy="813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C29110C8-CB59-4F2F-B71E-099E2C767BB6}" cache="SegmentaciónDeDatos_Responsable" caption="Responsable" rowHeight="257175"/>
  <slicer name="Sprint" xr10:uid="{EAA99129-CF6C-4C41-9B6E-A530D04616EC}" cache="SegmentaciónDeDatos_Sprint" caption="Sprint" columnCount="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18" totalsRowShown="0">
  <autoFilter ref="A3:M18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5">
      <calculatedColumnFormula>IF(Tabla1[[#This Row],[Responsable]]="Mateo","bankend",IF(Tabla1[[#This Row],[Responsable]]="Simon","Frontend","PO"))</calculatedColumnFormula>
    </tableColumn>
    <tableColumn id="12" xr3:uid="{4103DEAE-C8AE-4058-909E-25798B1924E0}" name="Puntos" dataDxfId="4">
      <calculatedColumnFormula>SUM(G5:G9)</calculatedColumnFormula>
    </tableColumn>
    <tableColumn id="6" xr3:uid="{9658A137-6834-485F-952C-FF312235ECC7}" name="Progreso" dataDxfId="3" dataCellStyle="Porcentaje"/>
    <tableColumn id="13" xr3:uid="{38B4B3E7-3039-4CC3-800F-72D7E2EAA0DC}" name="Restante" dataDxfId="2" dataCellStyle="Porcentaje">
      <calculatedColumnFormula>1-Tabla1[[#This Row],[Progreso]]</calculatedColumnFormula>
    </tableColumn>
    <tableColumn id="7" xr3:uid="{18580114-7AC3-46AF-B84D-B64C13A89444}" name="Fecha Inicio" dataDxfId="1"/>
    <tableColumn id="8" xr3:uid="{66459456-99D2-4A02-A292-EE9DE084CE52}" name="Fecha fin" dataDxfId="0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O21"/>
  <sheetViews>
    <sheetView tabSelected="1" zoomScale="130" zoomScaleNormal="130" workbookViewId="0">
      <selection activeCell="O2" sqref="O2"/>
    </sheetView>
  </sheetViews>
  <sheetFormatPr baseColWidth="10" defaultRowHeight="15" x14ac:dyDescent="0.25"/>
  <cols>
    <col min="2" max="2" width="17.85546875" customWidth="1"/>
    <col min="3" max="4" width="13.28515625" customWidth="1"/>
    <col min="5" max="5" width="14.85546875" customWidth="1"/>
    <col min="6" max="6" width="8.85546875" bestFit="1" customWidth="1"/>
    <col min="7" max="7" width="8.85546875" customWidth="1"/>
    <col min="10" max="10" width="13.85546875" customWidth="1"/>
    <col min="12" max="12" width="15.7109375" customWidth="1"/>
    <col min="13" max="13" width="13.7109375" customWidth="1"/>
  </cols>
  <sheetData>
    <row r="1" spans="1:15" ht="343.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25">
      <c r="A3" t="s">
        <v>0</v>
      </c>
      <c r="B3" t="s">
        <v>1</v>
      </c>
      <c r="C3" t="s">
        <v>2</v>
      </c>
      <c r="D3" t="s">
        <v>11</v>
      </c>
      <c r="E3" t="s">
        <v>3</v>
      </c>
      <c r="F3" t="s">
        <v>13</v>
      </c>
      <c r="G3" t="s">
        <v>14</v>
      </c>
      <c r="H3" t="s">
        <v>4</v>
      </c>
      <c r="I3" t="s">
        <v>15</v>
      </c>
      <c r="J3" t="s">
        <v>5</v>
      </c>
      <c r="K3" t="s">
        <v>6</v>
      </c>
      <c r="L3" t="s">
        <v>12</v>
      </c>
      <c r="M3" t="s">
        <v>7</v>
      </c>
    </row>
    <row r="4" spans="1:15" x14ac:dyDescent="0.25">
      <c r="A4" t="s">
        <v>9</v>
      </c>
      <c r="B4" t="s">
        <v>8</v>
      </c>
      <c r="C4" t="s">
        <v>8</v>
      </c>
      <c r="E4" t="s">
        <v>21</v>
      </c>
      <c r="F4" t="str">
        <f>IF(Tabla1[[#This Row],[Responsable]]="Mateo","bankend",IF(Tabla1[[#This Row],[Responsable]]="Simon","Frontend","PO"))</f>
        <v>bankend</v>
      </c>
      <c r="G4">
        <f>SUM(G5:G8)</f>
        <v>21</v>
      </c>
      <c r="H4" s="2">
        <v>1</v>
      </c>
      <c r="I4" s="2">
        <f>1-Tabla1[[#This Row],[Progreso]]</f>
        <v>0</v>
      </c>
      <c r="J4" s="1">
        <v>45962</v>
      </c>
      <c r="K4" s="1">
        <f t="shared" ref="K4:K12" si="0">J4+L4</f>
        <v>45967</v>
      </c>
      <c r="L4">
        <v>5</v>
      </c>
      <c r="M4">
        <f t="shared" ref="M4:M12" si="1">L4*H4</f>
        <v>5</v>
      </c>
    </row>
    <row r="5" spans="1:15" x14ac:dyDescent="0.25">
      <c r="A5" t="s">
        <v>9</v>
      </c>
      <c r="B5" t="s">
        <v>8</v>
      </c>
      <c r="C5" t="s">
        <v>20</v>
      </c>
      <c r="D5">
        <v>1</v>
      </c>
      <c r="E5" t="s">
        <v>21</v>
      </c>
      <c r="F5" t="str">
        <f>IF(Tabla1[[#This Row],[Responsable]]="Mateo","bankend",IF(Tabla1[[#This Row],[Responsable]]="Simon","Frontend","PO"))</f>
        <v>bankend</v>
      </c>
      <c r="G5">
        <v>8</v>
      </c>
      <c r="H5" s="2">
        <v>1</v>
      </c>
      <c r="I5" s="2">
        <f>1-Tabla1[[#This Row],[Progreso]]</f>
        <v>0</v>
      </c>
      <c r="J5" s="1">
        <v>45962</v>
      </c>
      <c r="K5" s="1">
        <f t="shared" si="0"/>
        <v>45963</v>
      </c>
      <c r="L5">
        <v>1</v>
      </c>
      <c r="M5">
        <f t="shared" si="1"/>
        <v>1</v>
      </c>
    </row>
    <row r="6" spans="1:15" x14ac:dyDescent="0.25">
      <c r="A6" t="s">
        <v>9</v>
      </c>
      <c r="B6" t="s">
        <v>8</v>
      </c>
      <c r="C6" t="s">
        <v>17</v>
      </c>
      <c r="D6">
        <v>1</v>
      </c>
      <c r="E6" t="s">
        <v>16</v>
      </c>
      <c r="F6" t="str">
        <f>IF(Tabla1[[#This Row],[Responsable]]="Mateo","bankend",IF(Tabla1[[#This Row],[Responsable]]="Simon","Frontend","PO"))</f>
        <v>Frontend</v>
      </c>
      <c r="G6">
        <v>3</v>
      </c>
      <c r="H6" s="2">
        <v>1</v>
      </c>
      <c r="I6" s="2">
        <f>1-Tabla1[[#This Row],[Progreso]]</f>
        <v>0</v>
      </c>
      <c r="J6" s="1">
        <v>45963</v>
      </c>
      <c r="K6" s="1">
        <f t="shared" si="0"/>
        <v>45965</v>
      </c>
      <c r="L6">
        <v>2</v>
      </c>
      <c r="M6">
        <f t="shared" si="1"/>
        <v>2</v>
      </c>
    </row>
    <row r="7" spans="1:15" x14ac:dyDescent="0.25">
      <c r="A7" t="s">
        <v>9</v>
      </c>
      <c r="B7" t="s">
        <v>8</v>
      </c>
      <c r="C7" t="s">
        <v>18</v>
      </c>
      <c r="D7">
        <v>1</v>
      </c>
      <c r="E7" t="s">
        <v>16</v>
      </c>
      <c r="F7" t="str">
        <f>IF(Tabla1[[#This Row],[Responsable]]="Mateo","bankend",IF(Tabla1[[#This Row],[Responsable]]="Simon","Frontend","PO"))</f>
        <v>Frontend</v>
      </c>
      <c r="G7">
        <v>7</v>
      </c>
      <c r="H7" s="2">
        <v>1</v>
      </c>
      <c r="I7" s="2">
        <f>1-Tabla1[[#This Row],[Progreso]]</f>
        <v>0</v>
      </c>
      <c r="J7" s="1">
        <v>45965</v>
      </c>
      <c r="K7" s="1">
        <f t="shared" si="0"/>
        <v>45966</v>
      </c>
      <c r="L7">
        <v>1</v>
      </c>
      <c r="M7">
        <f t="shared" si="1"/>
        <v>1</v>
      </c>
    </row>
    <row r="8" spans="1:15" x14ac:dyDescent="0.25">
      <c r="A8" t="s">
        <v>9</v>
      </c>
      <c r="B8" t="s">
        <v>8</v>
      </c>
      <c r="C8" t="s">
        <v>19</v>
      </c>
      <c r="D8">
        <v>1</v>
      </c>
      <c r="E8" t="s">
        <v>21</v>
      </c>
      <c r="F8" t="str">
        <f>IF(Tabla1[[#This Row],[Responsable]]="Mateo","bankend",IF(Tabla1[[#This Row],[Responsable]]="Simon","Frontend","PO"))</f>
        <v>bankend</v>
      </c>
      <c r="G8">
        <v>3</v>
      </c>
      <c r="H8" s="2">
        <v>1</v>
      </c>
      <c r="I8" s="2">
        <f>1-Tabla1[[#This Row],[Progreso]]</f>
        <v>0</v>
      </c>
      <c r="J8" s="1">
        <v>45965</v>
      </c>
      <c r="K8" s="1">
        <f t="shared" si="0"/>
        <v>45966</v>
      </c>
      <c r="L8">
        <v>1</v>
      </c>
      <c r="M8">
        <f t="shared" si="1"/>
        <v>1</v>
      </c>
    </row>
    <row r="9" spans="1:15" x14ac:dyDescent="0.25">
      <c r="A9" t="s">
        <v>9</v>
      </c>
      <c r="B9" t="s">
        <v>10</v>
      </c>
      <c r="C9" t="s">
        <v>10</v>
      </c>
      <c r="E9" t="s">
        <v>16</v>
      </c>
      <c r="F9" t="str">
        <f>IF(Tabla1[[#This Row],[Responsable]]="Mateo","bankend",IF(Tabla1[[#This Row],[Responsable]]="Simon","Frontend","PO"))</f>
        <v>Frontend</v>
      </c>
      <c r="G9">
        <f>SUM(G10:G13)</f>
        <v>99</v>
      </c>
      <c r="H9" s="2">
        <v>1</v>
      </c>
      <c r="I9" s="2">
        <f>1-Tabla1[[#This Row],[Progreso]]</f>
        <v>0</v>
      </c>
      <c r="J9" s="1">
        <v>45979</v>
      </c>
      <c r="K9" s="1">
        <f t="shared" si="0"/>
        <v>45984</v>
      </c>
      <c r="L9">
        <v>5</v>
      </c>
      <c r="M9">
        <f t="shared" si="1"/>
        <v>5</v>
      </c>
    </row>
    <row r="10" spans="1:15" x14ac:dyDescent="0.25">
      <c r="A10" t="s">
        <v>9</v>
      </c>
      <c r="B10" t="s">
        <v>10</v>
      </c>
      <c r="C10" t="s">
        <v>28</v>
      </c>
      <c r="D10">
        <v>2</v>
      </c>
      <c r="E10" t="s">
        <v>21</v>
      </c>
      <c r="F10" t="str">
        <f>IF(Tabla1[[#This Row],[Responsable]]="Mateo","bankend",IF(Tabla1[[#This Row],[Responsable]]="Simon","Frontend","PO"))</f>
        <v>bankend</v>
      </c>
      <c r="G10">
        <v>13</v>
      </c>
      <c r="H10" s="2">
        <v>1</v>
      </c>
      <c r="I10" s="2">
        <f>1-Tabla1[[#This Row],[Progreso]]</f>
        <v>0</v>
      </c>
      <c r="J10" s="1">
        <v>45979</v>
      </c>
      <c r="K10" s="1">
        <f t="shared" si="0"/>
        <v>45980</v>
      </c>
      <c r="L10">
        <v>1</v>
      </c>
      <c r="M10">
        <f t="shared" si="1"/>
        <v>1</v>
      </c>
    </row>
    <row r="11" spans="1:15" x14ac:dyDescent="0.25">
      <c r="A11" t="s">
        <v>9</v>
      </c>
      <c r="B11" t="s">
        <v>10</v>
      </c>
      <c r="C11" t="s">
        <v>29</v>
      </c>
      <c r="D11">
        <v>2</v>
      </c>
      <c r="E11" t="s">
        <v>16</v>
      </c>
      <c r="F11" t="str">
        <f>IF(Tabla1[[#This Row],[Responsable]]="Mateo","bankend",IF(Tabla1[[#This Row],[Responsable]]="Simon","Frontend","PO"))</f>
        <v>Frontend</v>
      </c>
      <c r="G11">
        <v>21</v>
      </c>
      <c r="H11" s="2">
        <v>1</v>
      </c>
      <c r="I11" s="2">
        <f>1-Tabla1[[#This Row],[Progreso]]</f>
        <v>0</v>
      </c>
      <c r="J11" s="1">
        <v>45980</v>
      </c>
      <c r="K11" s="1">
        <f t="shared" si="0"/>
        <v>45982</v>
      </c>
      <c r="L11">
        <v>2</v>
      </c>
      <c r="M11">
        <f t="shared" si="1"/>
        <v>2</v>
      </c>
    </row>
    <row r="12" spans="1:15" x14ac:dyDescent="0.25">
      <c r="A12" t="s">
        <v>9</v>
      </c>
      <c r="B12" t="s">
        <v>10</v>
      </c>
      <c r="C12" t="s">
        <v>30</v>
      </c>
      <c r="D12">
        <v>2</v>
      </c>
      <c r="E12" t="s">
        <v>21</v>
      </c>
      <c r="F12" t="str">
        <f>IF(Tabla1[[#This Row],[Responsable]]="Mateo","bankend",IF(Tabla1[[#This Row],[Responsable]]="Simon","Frontend","PO"))</f>
        <v>bankend</v>
      </c>
      <c r="G12">
        <v>5</v>
      </c>
      <c r="H12" s="2">
        <v>1</v>
      </c>
      <c r="I12" s="2">
        <f>1-Tabla1[[#This Row],[Progreso]]</f>
        <v>0</v>
      </c>
      <c r="J12" s="1">
        <v>45982</v>
      </c>
      <c r="K12" s="1">
        <f t="shared" si="0"/>
        <v>45984</v>
      </c>
      <c r="L12">
        <v>2</v>
      </c>
      <c r="M12">
        <f t="shared" si="1"/>
        <v>2</v>
      </c>
    </row>
    <row r="13" spans="1:15" x14ac:dyDescent="0.25">
      <c r="A13" t="s">
        <v>9</v>
      </c>
      <c r="B13" t="s">
        <v>22</v>
      </c>
      <c r="C13" t="s">
        <v>22</v>
      </c>
      <c r="D13">
        <v>3</v>
      </c>
      <c r="E13" t="s">
        <v>16</v>
      </c>
      <c r="F13" t="str">
        <f>IF(Tabla1[[#This Row],[Responsable]]="Mateo","bankend",IF(Tabla1[[#This Row],[Responsable]]="Simon","Frontend","PO"))</f>
        <v>Frontend</v>
      </c>
      <c r="G13">
        <f>SUM(G14:G19)</f>
        <v>60</v>
      </c>
      <c r="H13" s="2">
        <v>0</v>
      </c>
      <c r="I13" s="2">
        <f>1-Tabla1[[#This Row],[Progreso]]</f>
        <v>1</v>
      </c>
      <c r="J13" s="1">
        <v>45966</v>
      </c>
      <c r="K13" s="1">
        <f t="shared" ref="K13:K18" si="2">J13+L13</f>
        <v>45966</v>
      </c>
      <c r="L13">
        <v>0</v>
      </c>
      <c r="M13">
        <f t="shared" ref="M13:M18" si="3">L13*H13</f>
        <v>0</v>
      </c>
    </row>
    <row r="14" spans="1:15" x14ac:dyDescent="0.25">
      <c r="A14" t="s">
        <v>9</v>
      </c>
      <c r="B14" t="s">
        <v>22</v>
      </c>
      <c r="C14" t="s">
        <v>23</v>
      </c>
      <c r="D14">
        <v>3</v>
      </c>
      <c r="E14" t="s">
        <v>21</v>
      </c>
      <c r="F14" t="str">
        <f>IF(Tabla1[[#This Row],[Responsable]]="Mateo","bankend",IF(Tabla1[[#This Row],[Responsable]]="Simon","Frontend","PO"))</f>
        <v>bankend</v>
      </c>
      <c r="G14">
        <v>13</v>
      </c>
      <c r="H14" s="2">
        <v>0</v>
      </c>
      <c r="I14" s="2">
        <f>1-Tabla1[[#This Row],[Progreso]]</f>
        <v>1</v>
      </c>
      <c r="J14" s="1">
        <v>45967</v>
      </c>
      <c r="K14" s="1">
        <f t="shared" si="2"/>
        <v>45967</v>
      </c>
      <c r="L14">
        <v>0</v>
      </c>
      <c r="M14">
        <f t="shared" si="3"/>
        <v>0</v>
      </c>
    </row>
    <row r="15" spans="1:15" x14ac:dyDescent="0.25">
      <c r="A15" t="s">
        <v>9</v>
      </c>
      <c r="B15" t="s">
        <v>22</v>
      </c>
      <c r="C15" t="s">
        <v>24</v>
      </c>
      <c r="D15">
        <v>3</v>
      </c>
      <c r="E15" t="s">
        <v>16</v>
      </c>
      <c r="F15" t="str">
        <f>IF(Tabla1[[#This Row],[Responsable]]="Mateo","bankend",IF(Tabla1[[#This Row],[Responsable]]="Simon","Frontend","PO"))</f>
        <v>Frontend</v>
      </c>
      <c r="G15">
        <v>21</v>
      </c>
      <c r="H15" s="2">
        <v>0</v>
      </c>
      <c r="I15" s="2">
        <f>1-Tabla1[[#This Row],[Progreso]]</f>
        <v>1</v>
      </c>
      <c r="J15" s="1">
        <v>45968</v>
      </c>
      <c r="K15" s="1">
        <f t="shared" si="2"/>
        <v>45968</v>
      </c>
      <c r="L15">
        <v>0</v>
      </c>
      <c r="M15">
        <f t="shared" si="3"/>
        <v>0</v>
      </c>
    </row>
    <row r="16" spans="1:15" x14ac:dyDescent="0.25">
      <c r="A16" t="s">
        <v>9</v>
      </c>
      <c r="B16" t="s">
        <v>22</v>
      </c>
      <c r="C16" t="s">
        <v>25</v>
      </c>
      <c r="D16">
        <v>3</v>
      </c>
      <c r="E16" t="s">
        <v>21</v>
      </c>
      <c r="F16" t="str">
        <f>IF(Tabla1[[#This Row],[Responsable]]="Mateo","bankend",IF(Tabla1[[#This Row],[Responsable]]="Simon","Frontend","PO"))</f>
        <v>bankend</v>
      </c>
      <c r="G16">
        <v>5</v>
      </c>
      <c r="H16" s="2">
        <v>0</v>
      </c>
      <c r="I16" s="2">
        <f>1-Tabla1[[#This Row],[Progreso]]</f>
        <v>1</v>
      </c>
      <c r="J16" s="1">
        <v>45969</v>
      </c>
      <c r="K16" s="1">
        <f t="shared" si="2"/>
        <v>45969</v>
      </c>
      <c r="L16">
        <v>0</v>
      </c>
      <c r="M16">
        <f t="shared" si="3"/>
        <v>0</v>
      </c>
    </row>
    <row r="17" spans="1:13" x14ac:dyDescent="0.25">
      <c r="A17" t="s">
        <v>9</v>
      </c>
      <c r="B17" t="s">
        <v>22</v>
      </c>
      <c r="C17" t="s">
        <v>26</v>
      </c>
      <c r="D17">
        <v>3</v>
      </c>
      <c r="E17" t="s">
        <v>16</v>
      </c>
      <c r="F17" t="str">
        <f>IF(Tabla1[[#This Row],[Responsable]]="Mateo","bankend",IF(Tabla1[[#This Row],[Responsable]]="Simon","Frontend","PO"))</f>
        <v>Frontend</v>
      </c>
      <c r="G17">
        <v>8</v>
      </c>
      <c r="H17" s="2">
        <v>0</v>
      </c>
      <c r="I17" s="2">
        <f>1-Tabla1[[#This Row],[Progreso]]</f>
        <v>1</v>
      </c>
      <c r="J17" s="1">
        <v>45970</v>
      </c>
      <c r="K17" s="1">
        <f t="shared" si="2"/>
        <v>45970</v>
      </c>
      <c r="L17">
        <v>0</v>
      </c>
      <c r="M17">
        <f t="shared" si="3"/>
        <v>0</v>
      </c>
    </row>
    <row r="18" spans="1:13" x14ac:dyDescent="0.25">
      <c r="A18" t="s">
        <v>9</v>
      </c>
      <c r="B18" t="s">
        <v>22</v>
      </c>
      <c r="C18" t="s">
        <v>27</v>
      </c>
      <c r="D18">
        <v>3</v>
      </c>
      <c r="E18" t="s">
        <v>21</v>
      </c>
      <c r="F18" t="str">
        <f>IF(Tabla1[[#This Row],[Responsable]]="Mateo","bankend",IF(Tabla1[[#This Row],[Responsable]]="Simon","Frontend","PO"))</f>
        <v>bankend</v>
      </c>
      <c r="G18">
        <v>13</v>
      </c>
      <c r="H18" s="2">
        <v>0</v>
      </c>
      <c r="I18" s="2">
        <f>1-Tabla1[[#This Row],[Progreso]]</f>
        <v>1</v>
      </c>
      <c r="J18" s="1">
        <v>45971</v>
      </c>
      <c r="K18" s="1">
        <f t="shared" si="2"/>
        <v>45971</v>
      </c>
      <c r="L18">
        <v>0</v>
      </c>
      <c r="M18">
        <f t="shared" si="3"/>
        <v>0</v>
      </c>
    </row>
    <row r="20" spans="1:13" x14ac:dyDescent="0.25">
      <c r="C20" s="3" t="s">
        <v>31</v>
      </c>
      <c r="D20" s="4">
        <v>45962</v>
      </c>
    </row>
    <row r="21" spans="1:13" x14ac:dyDescent="0.25">
      <c r="C21" s="3" t="s">
        <v>32</v>
      </c>
      <c r="D21" s="4">
        <v>45998</v>
      </c>
    </row>
  </sheetData>
  <mergeCells count="1">
    <mergeCell ref="A1:O1"/>
  </mergeCells>
  <phoneticPr fontId="2" type="noConversion"/>
  <dataValidations count="1">
    <dataValidation type="list" allowBlank="1" showInputMessage="1" showErrorMessage="1" sqref="E3:E18" xr:uid="{C3E85B09-0F88-43BB-B58B-1F5833C161E8}">
      <formula1>"Simon,Mateo"</formula1>
    </dataValidation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nel we</cp:lastModifiedBy>
  <dcterms:created xsi:type="dcterms:W3CDTF">2025-09-29T22:51:52Z</dcterms:created>
  <dcterms:modified xsi:type="dcterms:W3CDTF">2025-11-23T20:12:55Z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