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IUD\ing en software y datos\Noveno semestre\Proyecto integrado V\Entrega #1\"/>
    </mc:Choice>
  </mc:AlternateContent>
  <xr:revisionPtr revIDLastSave="0" documentId="13_ncr:1_{3F9D148B-BC98-49EA-8C46-80D04A7B793E}" xr6:coauthVersionLast="47" xr6:coauthVersionMax="47" xr10:uidLastSave="{00000000-0000-0000-0000-000000000000}"/>
  <bookViews>
    <workbookView xWindow="-120" yWindow="-120" windowWidth="29040" windowHeight="16440" activeTab="1" xr2:uid="{377FBAF4-28BC-4853-BCB5-4DBC4DD5D549}"/>
  </bookViews>
  <sheets>
    <sheet name="Hoja2" sheetId="2" r:id="rId1"/>
    <sheet name="Hoja1" sheetId="1" r:id="rId2"/>
  </sheets>
  <definedNames>
    <definedName name="SegmentaciónDeDatos_Responsable">#N/A</definedName>
    <definedName name="SegmentaciónDeDatos_Sprint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K21" i="1"/>
  <c r="I21" i="1"/>
  <c r="F21" i="1"/>
  <c r="M20" i="1"/>
  <c r="K20" i="1"/>
  <c r="I20" i="1"/>
  <c r="F20" i="1"/>
  <c r="M19" i="1"/>
  <c r="K19" i="1"/>
  <c r="I19" i="1"/>
  <c r="F19" i="1"/>
  <c r="M18" i="1"/>
  <c r="K18" i="1"/>
  <c r="I18" i="1"/>
  <c r="F18" i="1"/>
  <c r="M17" i="1"/>
  <c r="K17" i="1"/>
  <c r="I17" i="1"/>
  <c r="F17" i="1"/>
  <c r="M16" i="1"/>
  <c r="K16" i="1"/>
  <c r="I16" i="1"/>
  <c r="G16" i="1"/>
  <c r="G10" i="1" s="1"/>
  <c r="G5" i="1" s="1"/>
  <c r="G4" i="1" s="1"/>
  <c r="F16" i="1"/>
  <c r="F6" i="1"/>
  <c r="F4" i="1"/>
  <c r="F5" i="1"/>
  <c r="F7" i="1"/>
  <c r="F8" i="1"/>
  <c r="F9" i="1"/>
  <c r="F10" i="1"/>
  <c r="F11" i="1"/>
  <c r="F12" i="1"/>
  <c r="F13" i="1"/>
  <c r="F14" i="1"/>
  <c r="F15" i="1"/>
  <c r="K4" i="1"/>
  <c r="I6" i="1"/>
  <c r="I7" i="1"/>
  <c r="I8" i="1"/>
  <c r="I9" i="1"/>
  <c r="I11" i="1"/>
  <c r="I12" i="1"/>
  <c r="I13" i="1"/>
  <c r="I14" i="1"/>
  <c r="I15" i="1"/>
  <c r="I5" i="1"/>
  <c r="I10" i="1"/>
  <c r="K5" i="1"/>
  <c r="K6" i="1"/>
  <c r="K7" i="1"/>
  <c r="K8" i="1"/>
  <c r="K9" i="1"/>
  <c r="K10" i="1"/>
  <c r="K11" i="1"/>
  <c r="K12" i="1"/>
  <c r="K13" i="1"/>
  <c r="K14" i="1"/>
  <c r="K15" i="1"/>
  <c r="M6" i="1"/>
  <c r="M7" i="1"/>
  <c r="M8" i="1"/>
  <c r="M9" i="1"/>
  <c r="M11" i="1"/>
  <c r="M12" i="1"/>
  <c r="M13" i="1"/>
  <c r="M14" i="1"/>
  <c r="M15" i="1"/>
  <c r="M10" i="1" l="1"/>
  <c r="M5" i="1"/>
  <c r="M4" i="1" l="1"/>
  <c r="I4" i="1"/>
</calcChain>
</file>

<file path=xl/sharedStrings.xml><?xml version="1.0" encoding="utf-8"?>
<sst xmlns="http://schemas.openxmlformats.org/spreadsheetml/2006/main" count="95" uniqueCount="39">
  <si>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</si>
  <si>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</si>
  <si>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</si>
  <si>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</si>
  <si>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</si>
  <si>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</si>
  <si>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</si>
  <si>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</si>
  <si>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</si>
  <si>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</si>
  <si>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</si>
  <si>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Actividad 2-1</t>
  </si>
  <si>
    <t>Actividad 2-2</t>
  </si>
  <si>
    <t>Actividad 2-3</t>
  </si>
  <si>
    <t>Actividad 2-4</t>
  </si>
  <si>
    <t>Actividad 2-5</t>
  </si>
  <si>
    <t>Entregable Epica</t>
  </si>
  <si>
    <t>Sprint</t>
  </si>
  <si>
    <t>Duracion Dias</t>
  </si>
  <si>
    <t>Ivan</t>
  </si>
  <si>
    <t>Rol</t>
  </si>
  <si>
    <t>Puntos</t>
  </si>
  <si>
    <t>Suma de Puntos</t>
  </si>
  <si>
    <t>Etiquetas de fila</t>
  </si>
  <si>
    <t>Total general</t>
  </si>
  <si>
    <t>Restante</t>
  </si>
  <si>
    <t>Cuenta de HA/HU</t>
  </si>
  <si>
    <t>Simon</t>
  </si>
  <si>
    <t>Codigo</t>
  </si>
  <si>
    <t>Word</t>
  </si>
  <si>
    <t>Gantt</t>
  </si>
  <si>
    <t>Idea</t>
  </si>
  <si>
    <t>Mateo</t>
  </si>
  <si>
    <t>Entregable 3</t>
  </si>
  <si>
    <t>Actividad 3-1</t>
  </si>
  <si>
    <t>Actividad 3-2</t>
  </si>
  <si>
    <t>Actividad 3-3</t>
  </si>
  <si>
    <t>Actividad 3-4</t>
  </si>
  <si>
    <t>Actividad 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</si>
</sst>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6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Hoja1!$H$4:$H$21</c:f>
                <c:numCache>
                  <c:formatCode>General</c:formatCode>
                  <c:ptCount val="1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</c:numCache>
              </c:numRef>
            </c:minus>
            <c:spPr>
              <a:noFill/>
              <a:ln w="152400" cap="flat" cmpd="sng" algn="ctr">
                <a:solidFill>
                  <a:schemeClr val="accent6">
                    <a:lumMod val="75000"/>
                    <a:alpha val="68000"/>
                  </a:schemeClr>
                </a:solidFill>
                <a:round/>
              </a:ln>
              <a:effectLst/>
            </c:spPr>
          </c:errBars>
          <c:cat>
            <c:strRef>
              <c:f>Hoja1!$C$4:$C$21</c:f>
              <c:strCache>
                <c:ptCount val="18"/>
                <c:pt idx="0">
                  <c:v>Epica 1</c:v>
                </c:pt>
                <c:pt idx="1">
                  <c:v>Entregable 1</c:v>
                </c:pt>
                <c:pt idx="2">
                  <c:v>Idea</c:v>
                </c:pt>
                <c:pt idx="3">
                  <c:v>Codigo</c:v>
                </c:pt>
                <c:pt idx="4">
                  <c:v>Word</c:v>
                </c:pt>
                <c:pt idx="5">
                  <c:v>Gantt</c:v>
                </c:pt>
                <c:pt idx="6">
                  <c:v>Entregable 2</c:v>
                </c:pt>
                <c:pt idx="7">
                  <c:v>Actividad 2-1</c:v>
                </c:pt>
                <c:pt idx="8">
                  <c:v>Actividad 2-2</c:v>
                </c:pt>
                <c:pt idx="9">
                  <c:v>Actividad 2-3</c:v>
                </c:pt>
                <c:pt idx="10">
                  <c:v>Actividad 2-4</c:v>
                </c:pt>
                <c:pt idx="11">
                  <c:v>Actividad 2-5</c:v>
                </c:pt>
                <c:pt idx="12">
                  <c:v>Entregable 3</c:v>
                </c:pt>
                <c:pt idx="13">
                  <c:v>Actividad 3-1</c:v>
                </c:pt>
                <c:pt idx="14">
                  <c:v>Actividad 3-2</c:v>
                </c:pt>
                <c:pt idx="15">
                  <c:v>Actividad 3-3</c:v>
                </c:pt>
                <c:pt idx="16">
                  <c:v>Actividad 3-4</c:v>
                </c:pt>
                <c:pt idx="17">
                  <c:v>Actividad 3-5</c:v>
                </c:pt>
              </c:strCache>
            </c:strRef>
          </c:cat>
          <c:val>
            <c:numRef>
              <c:f>Hoja1!$J$4:$J$21</c:f>
              <c:numCache>
                <c:formatCode>m/d/yyyy</c:formatCode>
                <c:ptCount val="18"/>
                <c:pt idx="0">
                  <c:v>45962</c:v>
                </c:pt>
                <c:pt idx="1">
                  <c:v>45962</c:v>
                </c:pt>
                <c:pt idx="2">
                  <c:v>45962</c:v>
                </c:pt>
                <c:pt idx="3">
                  <c:v>45932</c:v>
                </c:pt>
                <c:pt idx="4">
                  <c:v>45933</c:v>
                </c:pt>
                <c:pt idx="5">
                  <c:v>45965</c:v>
                </c:pt>
                <c:pt idx="6">
                  <c:v>45966</c:v>
                </c:pt>
                <c:pt idx="7">
                  <c:v>45967</c:v>
                </c:pt>
                <c:pt idx="8">
                  <c:v>45968</c:v>
                </c:pt>
                <c:pt idx="9">
                  <c:v>45969</c:v>
                </c:pt>
                <c:pt idx="10">
                  <c:v>45970</c:v>
                </c:pt>
                <c:pt idx="11">
                  <c:v>45971</c:v>
                </c:pt>
                <c:pt idx="12">
                  <c:v>45966</c:v>
                </c:pt>
                <c:pt idx="13">
                  <c:v>45967</c:v>
                </c:pt>
                <c:pt idx="14">
                  <c:v>45968</c:v>
                </c:pt>
                <c:pt idx="15">
                  <c:v>45969</c:v>
                </c:pt>
                <c:pt idx="16">
                  <c:v>45970</c:v>
                </c:pt>
                <c:pt idx="17">
                  <c:v>45971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9-467B-8BBE-7B31F10E2411}"/>
            </c:ext>
          </c:extLst>
        </c:ser>
        <c:ser>
          <c:idx val="1"/>
          <c:order val="1"/>
          <c:tx>
            <c:strRef>
              <c:f>Hoja1!$L$4:$L$15</c:f>
              <c:strCache>
                <c:ptCount val="12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F9-467B-8BBE-7B31F10E24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F9-467B-8BBE-7B31F10E241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DF9-467B-8BBE-7B31F10E24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61D488B-F6C4-417B-8A30-6182C8320321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DF9-467B-8BBE-7B31F10E2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63C270-E659-43D1-98DA-515204A20E16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F9-467B-8BBE-7B31F10E2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D4371F-85C3-483C-A7C0-09904B475F0B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F9-467B-8BBE-7B31F10E2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686A0A-F8FC-4549-A30C-F0A6D0A75006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F9-467B-8BBE-7B31F10E24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98A3D0-60A1-4976-AC81-5B3448B3F5E5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F9-467B-8BBE-7B31F10E241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DF489B-375D-4804-9FD5-D99DBD323046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F9-467B-8BBE-7B31F10E241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A469BB-D022-4DD5-ACD5-CAFE90B6BBD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F9-467B-8BBE-7B31F10E241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00533D-DE0E-4534-B15C-C7E0F9A9E84C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F9-467B-8BBE-7B31F10E241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F45FA99-6A8B-4240-A760-05AF8A668ABB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F9-467B-8BBE-7B31F10E241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03E8456-200F-4280-9A11-01D7D6350C1C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F9-467B-8BBE-7B31F10E241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BCF489C-F6A6-4EAB-B43E-4A2EF8DD76D2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F9-467B-8BBE-7B31F10E241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D658BFD-7AE8-464F-A0C0-A81BF3B1D5CA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F9-467B-8BBE-7B31F10E241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FA41C8F-5D3E-4F36-8D55-74A7C3430CF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F9-467B-8BBE-7B31F10E241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ABFDD22-DC81-4511-8E32-AEAF981B236A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F9-467B-8BBE-7B31F10E241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80F50E7-57DA-429D-A438-01252909695D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D93-42EE-8375-110844C95F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850C0AB-5E56-4F63-8083-51999873E3EA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D93-42EE-8375-110844C95F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B88389-3ACE-418D-BF92-602C7B3B91D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D93-42EE-8375-110844C95F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20AC762-95C8-492E-A44C-1EE7BC6FD07C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D93-42EE-8375-110844C95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Hoja1!$C$4:$C$21</c:f>
              <c:strCache>
                <c:ptCount val="18"/>
                <c:pt idx="0">
                  <c:v>Epica 1</c:v>
                </c:pt>
                <c:pt idx="1">
                  <c:v>Entregable 1</c:v>
                </c:pt>
                <c:pt idx="2">
                  <c:v>Idea</c:v>
                </c:pt>
                <c:pt idx="3">
                  <c:v>Codigo</c:v>
                </c:pt>
                <c:pt idx="4">
                  <c:v>Word</c:v>
                </c:pt>
                <c:pt idx="5">
                  <c:v>Gantt</c:v>
                </c:pt>
                <c:pt idx="6">
                  <c:v>Entregable 2</c:v>
                </c:pt>
                <c:pt idx="7">
                  <c:v>Actividad 2-1</c:v>
                </c:pt>
                <c:pt idx="8">
                  <c:v>Actividad 2-2</c:v>
                </c:pt>
                <c:pt idx="9">
                  <c:v>Actividad 2-3</c:v>
                </c:pt>
                <c:pt idx="10">
                  <c:v>Actividad 2-4</c:v>
                </c:pt>
                <c:pt idx="11">
                  <c:v>Actividad 2-5</c:v>
                </c:pt>
                <c:pt idx="12">
                  <c:v>Entregable 3</c:v>
                </c:pt>
                <c:pt idx="13">
                  <c:v>Actividad 3-1</c:v>
                </c:pt>
                <c:pt idx="14">
                  <c:v>Actividad 3-2</c:v>
                </c:pt>
                <c:pt idx="15">
                  <c:v>Actividad 3-3</c:v>
                </c:pt>
                <c:pt idx="16">
                  <c:v>Actividad 3-4</c:v>
                </c:pt>
                <c:pt idx="17">
                  <c:v>Actividad 3-5</c:v>
                </c:pt>
              </c:strCache>
            </c:strRef>
          </c:cat>
          <c:val>
            <c:numRef>
              <c:f>Hoja1!$L$4:$L$21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15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Hoja1!$H$4:$H$21</c15:f>
                <c15:dlblRangeCache>
                  <c:ptCount val="1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0%</c:v>
                  </c:pt>
                  <c:pt idx="7">
                    <c:v>0%</c:v>
                  </c:pt>
                  <c:pt idx="8">
                    <c:v>0%</c:v>
                  </c:pt>
                  <c:pt idx="9">
                    <c:v>0%</c:v>
                  </c:pt>
                  <c:pt idx="10">
                    <c:v>0%</c:v>
                  </c:pt>
                  <c:pt idx="11">
                    <c:v>0%</c:v>
                  </c:pt>
                  <c:pt idx="12">
                    <c:v>0%</c:v>
                  </c:pt>
                  <c:pt idx="13">
                    <c:v>0%</c:v>
                  </c:pt>
                  <c:pt idx="14">
                    <c:v>0%</c:v>
                  </c:pt>
                  <c:pt idx="15">
                    <c:v>0%</c:v>
                  </c:pt>
                  <c:pt idx="16">
                    <c:v>0%</c:v>
                  </c:pt>
                  <c:pt idx="17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DF9-467B-8BBE-7B31F10E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154554767"/>
        <c:axId val="1154556207"/>
      </c:barChart>
      <c:catAx>
        <c:axId val="1154554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6207"/>
        <c:crosses val="autoZero"/>
        <c:auto val="1"/>
        <c:lblAlgn val="ctr"/>
        <c:lblOffset val="100"/>
        <c:noMultiLvlLbl val="0"/>
      </c:catAx>
      <c:valAx>
        <c:axId val="1154556207"/>
        <c:scaling>
          <c:orientation val="minMax"/>
          <c:max val="45959"/>
          <c:min val="4592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Hoja1!$E$5</c:f>
              <c:strCache>
                <c:ptCount val="1"/>
                <c:pt idx="0">
                  <c:v>Mateo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0">
                <a:solidFill>
                  <a:schemeClr val="bg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C-45CD-8463-ACD327C3C786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3C-45CD-8463-ACD327C3C786}"/>
              </c:ext>
            </c:extLst>
          </c:dPt>
          <c:dLbls>
            <c:dLbl>
              <c:idx val="0"/>
              <c:layout>
                <c:manualLayout>
                  <c:x val="0.20939189064680661"/>
                  <c:y val="-3.579418848937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3C-45CD-8463-ACD327C3C786}"/>
                </c:ext>
              </c:extLst>
            </c:dLbl>
            <c:dLbl>
              <c:idx val="1"/>
              <c:layout>
                <c:manualLayout>
                  <c:x val="-0.20323330562778288"/>
                  <c:y val="1.4317675395751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3C-45CD-8463-ACD327C3C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Hoja1!$H$5:$I$5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C-45CD-8463-ACD327C3C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10</xdr:col>
      <xdr:colOff>523875</xdr:colOff>
      <xdr:row>0</xdr:row>
      <xdr:rowOff>3486150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20D8F-95A0-E15D-1A5F-0FA90E4D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571500</xdr:colOff>
      <xdr:row>0</xdr:row>
      <xdr:rowOff>104775</xdr:rowOff>
    </xdr:from>
    <xdr:to>
      <xdr:col>12</xdr:col>
      <xdr:colOff>876300</xdr:colOff>
      <xdr:row>0</xdr:row>
      <xdr:rowOff>1514475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1828" y="104775"/>
              <a:ext cx="211455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447675</xdr:colOff>
      <xdr:row>0</xdr:row>
      <xdr:rowOff>1504949</xdr:rowOff>
    </xdr:from>
    <xdr:ext cx="1038225" cy="1094146"/>
    <xdr:sp macro="" textlink="$H4">
      <xdr:nvSpPr>
        <xdr:cNvPr id="14" name="CuadroTexto 13">
          <a:extLst>
            <a:ext uri="{FF2B5EF4-FFF2-40B4-BE49-F238E27FC236}">
              <a16:creationId xmlns:a16="http://schemas.microsoft.com/office/drawing/2014/main" id="{CB1565EB-D3A3-FCE3-20F7-EA8A8CE9472A}"/>
            </a:ext>
          </a:extLst>
        </xdr:cNvPr>
        <xdr:cNvSpPr txBox="1"/>
      </xdr:nvSpPr>
      <xdr:spPr>
        <a:xfrm>
          <a:off x="9562367" y="1504949"/>
          <a:ext cx="1038225" cy="1094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F6C04CC-7A38-46DD-AF5E-ECFAB45CA560}" type="TxLink">
            <a:rPr lang="en-US" sz="3200" b="1" i="0" u="none" strike="noStrike">
              <a:solidFill>
                <a:srgbClr val="000000"/>
              </a:solidFill>
              <a:latin typeface="Aptos Narrow"/>
            </a:rPr>
            <a:pPr/>
            <a:t>100%</a:t>
          </a:fld>
          <a:endParaRPr lang="es-CO" sz="3200" b="1"/>
        </a:p>
      </xdr:txBody>
    </xdr:sp>
    <xdr:clientData/>
  </xdr:oneCellAnchor>
  <xdr:oneCellAnchor>
    <xdr:from>
      <xdr:col>11</xdr:col>
      <xdr:colOff>285750</xdr:colOff>
      <xdr:row>0</xdr:row>
      <xdr:rowOff>1933575</xdr:rowOff>
    </xdr:from>
    <xdr:ext cx="1156150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9391650" y="1933575"/>
          <a:ext cx="1156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/>
            <a:t>Avance</a:t>
          </a:r>
          <a:r>
            <a:rPr lang="es-CO" sz="1100" b="1" baseline="0"/>
            <a:t> Proyecto</a:t>
          </a:r>
          <a:endParaRPr lang="es-CO" sz="1100" b="1"/>
        </a:p>
      </xdr:txBody>
    </xdr:sp>
    <xdr:clientData/>
  </xdr:oneCellAnchor>
  <xdr:oneCellAnchor>
    <xdr:from>
      <xdr:col>11</xdr:col>
      <xdr:colOff>1038226</xdr:colOff>
      <xdr:row>0</xdr:row>
      <xdr:rowOff>2228849</xdr:rowOff>
    </xdr:from>
    <xdr:ext cx="647700" cy="655821"/>
    <xdr:sp macro="" textlink="$H5">
      <xdr:nvSpPr>
        <xdr:cNvPr id="16" name="CuadroTexto 15">
          <a:extLst>
            <a:ext uri="{FF2B5EF4-FFF2-40B4-BE49-F238E27FC236}">
              <a16:creationId xmlns:a16="http://schemas.microsoft.com/office/drawing/2014/main" id="{B897DF5F-CBCB-4537-8714-725971B8AC42}"/>
            </a:ext>
          </a:extLst>
        </xdr:cNvPr>
        <xdr:cNvSpPr txBox="1"/>
      </xdr:nvSpPr>
      <xdr:spPr>
        <a:xfrm>
          <a:off x="10152918" y="2228849"/>
          <a:ext cx="647700" cy="655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F8D5E252-C030-4EB4-9C2C-87A71A400C6B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100%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oneCellAnchor>
    <xdr:from>
      <xdr:col>11</xdr:col>
      <xdr:colOff>47625</xdr:colOff>
      <xdr:row>0</xdr:row>
      <xdr:rowOff>2295525</xdr:rowOff>
    </xdr:from>
    <xdr:ext cx="911981" cy="264560"/>
    <xdr:sp macro="" textlink="$C5">
      <xdr:nvSpPr>
        <xdr:cNvPr id="17" name="CuadroTexto 16">
          <a:extLst>
            <a:ext uri="{FF2B5EF4-FFF2-40B4-BE49-F238E27FC236}">
              <a16:creationId xmlns:a16="http://schemas.microsoft.com/office/drawing/2014/main" id="{0188CA17-3731-4738-847F-01A80CB37A4A}"/>
            </a:ext>
          </a:extLst>
        </xdr:cNvPr>
        <xdr:cNvSpPr txBox="1"/>
      </xdr:nvSpPr>
      <xdr:spPr>
        <a:xfrm>
          <a:off x="9153525" y="2295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C06834C-725B-4E0D-BED8-B86E0C4FB7B9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1</a:t>
          </a:fld>
          <a:endParaRPr lang="es-CO" sz="1100" b="1"/>
        </a:p>
      </xdr:txBody>
    </xdr:sp>
    <xdr:clientData/>
  </xdr:oneCellAnchor>
  <xdr:oneCellAnchor>
    <xdr:from>
      <xdr:col>11</xdr:col>
      <xdr:colOff>47625</xdr:colOff>
      <xdr:row>0</xdr:row>
      <xdr:rowOff>2676525</xdr:rowOff>
    </xdr:from>
    <xdr:ext cx="911981" cy="264560"/>
    <xdr:sp macro="" textlink="$C10">
      <xdr:nvSpPr>
        <xdr:cNvPr id="18" name="CuadroTexto 17">
          <a:extLst>
            <a:ext uri="{FF2B5EF4-FFF2-40B4-BE49-F238E27FC236}">
              <a16:creationId xmlns:a16="http://schemas.microsoft.com/office/drawing/2014/main" id="{FFF96804-A0F0-4D05-8D70-D556B0E5C533}"/>
            </a:ext>
          </a:extLst>
        </xdr:cNvPr>
        <xdr:cNvSpPr txBox="1"/>
      </xdr:nvSpPr>
      <xdr:spPr>
        <a:xfrm>
          <a:off x="9153525" y="2676525"/>
          <a:ext cx="911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B89C85A-B573-4F72-BF9F-7212B6F619E0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/>
            <a:t>Entregable 2</a:t>
          </a:fld>
          <a:endParaRPr lang="es-CO" sz="1100" b="1"/>
        </a:p>
      </xdr:txBody>
    </xdr:sp>
    <xdr:clientData/>
  </xdr:oneCellAnchor>
  <xdr:oneCellAnchor>
    <xdr:from>
      <xdr:col>11</xdr:col>
      <xdr:colOff>1019176</xdr:colOff>
      <xdr:row>0</xdr:row>
      <xdr:rowOff>2609849</xdr:rowOff>
    </xdr:from>
    <xdr:ext cx="647700" cy="374077"/>
    <xdr:sp macro="" textlink="$H10">
      <xdr:nvSpPr>
        <xdr:cNvPr id="19" name="CuadroTexto 18">
          <a:extLst>
            <a:ext uri="{FF2B5EF4-FFF2-40B4-BE49-F238E27FC236}">
              <a16:creationId xmlns:a16="http://schemas.microsoft.com/office/drawing/2014/main" id="{5D33866E-4267-42FB-8969-C063A0793EC5}"/>
            </a:ext>
          </a:extLst>
        </xdr:cNvPr>
        <xdr:cNvSpPr txBox="1"/>
      </xdr:nvSpPr>
      <xdr:spPr>
        <a:xfrm>
          <a:off x="10125076" y="2609849"/>
          <a:ext cx="64770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5F24DF8B-E3A9-4003-AB4E-0B7537816EB6}" type="TxLink">
            <a:rPr lang="en-US" sz="1800" b="1" i="0" u="none" strike="noStrike">
              <a:solidFill>
                <a:schemeClr val="accent4"/>
              </a:solidFill>
              <a:latin typeface="Aptos Narrow"/>
            </a:rPr>
            <a:pPr/>
            <a:t>0%</a:t>
          </a:fld>
          <a:endParaRPr lang="es-CO" sz="1800" b="1">
            <a:solidFill>
              <a:schemeClr val="accent4"/>
            </a:solidFill>
          </a:endParaRPr>
        </a:p>
      </xdr:txBody>
    </xdr:sp>
    <xdr:clientData/>
  </xdr:oneCellAnchor>
  <xdr:twoCellAnchor>
    <xdr:from>
      <xdr:col>10</xdr:col>
      <xdr:colOff>666750</xdr:colOff>
      <xdr:row>0</xdr:row>
      <xdr:rowOff>2209800</xdr:rowOff>
    </xdr:from>
    <xdr:to>
      <xdr:col>12</xdr:col>
      <xdr:colOff>638175</xdr:colOff>
      <xdr:row>0</xdr:row>
      <xdr:rowOff>2219325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FF11CE58-CBFB-8D57-79C5-962AA81DA670}"/>
            </a:ext>
          </a:extLst>
        </xdr:cNvPr>
        <xdr:cNvCxnSpPr/>
      </xdr:nvCxnSpPr>
      <xdr:spPr>
        <a:xfrm flipV="1">
          <a:off x="9010650" y="22098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685800</xdr:colOff>
      <xdr:row>0</xdr:row>
      <xdr:rowOff>3009900</xdr:rowOff>
    </xdr:from>
    <xdr:to>
      <xdr:col>12</xdr:col>
      <xdr:colOff>657225</xdr:colOff>
      <xdr:row>0</xdr:row>
      <xdr:rowOff>3019425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9ADA7D9-A5DB-4420-A5EE-387E4E4AD96A}"/>
            </a:ext>
          </a:extLst>
        </xdr:cNvPr>
        <xdr:cNvCxnSpPr/>
      </xdr:nvCxnSpPr>
      <xdr:spPr>
        <a:xfrm flipV="1">
          <a:off x="9029700" y="3009900"/>
          <a:ext cx="17811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576263</xdr:colOff>
      <xdr:row>0</xdr:row>
      <xdr:rowOff>2494359</xdr:rowOff>
    </xdr:from>
    <xdr:to>
      <xdr:col>12</xdr:col>
      <xdr:colOff>828675</xdr:colOff>
      <xdr:row>1</xdr:row>
      <xdr:rowOff>95249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CF8A926-3541-0EA5-4235-040656BA2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3516923</xdr:rowOff>
    </xdr:from>
    <xdr:to>
      <xdr:col>10</xdr:col>
      <xdr:colOff>505558</xdr:colOff>
      <xdr:row>1</xdr:row>
      <xdr:rowOff>161192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16923"/>
              <a:ext cx="8858250" cy="813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32.770389004632" createdVersion="8" refreshedVersion="8" minRefreshableVersion="3" recordCount="14" xr:uid="{EFD0EDF6-4B4E-41D8-9799-58593E5E5F89}">
  <cacheSource type="worksheet">
    <worksheetSource name="Tabla1"/>
  </cacheSource>
  <cacheFields count="12">
    <cacheField name="Epica" numFmtId="0">
      <sharedItems count="1">
        <s v="Epica 1"/>
      </sharedItems>
    </cacheField>
    <cacheField name="Entrega de valor" numFmtId="0">
      <sharedItems/>
    </cacheField>
    <cacheField name="HA/HU" numFmtId="0">
      <sharedItems/>
    </cacheField>
    <cacheField name="Sprint" numFmtId="0">
      <sharedItems count="7">
        <s v="sprint 290"/>
        <s v="sprint 270"/>
        <s v="sprint 263"/>
        <s v="sprint 265"/>
        <s v="sprint 268"/>
        <s v="sprint 285"/>
        <s v="sprint 287"/>
      </sharedItems>
    </cacheField>
    <cacheField name="Responsable" numFmtId="0">
      <sharedItems count="3">
        <s v="Ivan"/>
        <s v="Carlos"/>
        <s v="Andres"/>
      </sharedItems>
    </cacheField>
    <cacheField name="Rol" numFmtId="0">
      <sharedItems count="3">
        <s v="PO"/>
        <s v="bankend"/>
        <s v="Frontend"/>
      </sharedItems>
    </cacheField>
    <cacheField name="Puntos" numFmtId="0">
      <sharedItems containsSemiMixedTypes="0" containsString="0" containsNumber="1" containsInteger="1" minValue="3" maxValue="271" count="10">
        <n v="271"/>
        <n v="138"/>
        <n v="8"/>
        <n v="3"/>
        <n v="7"/>
        <n v="112"/>
        <n v="5"/>
        <n v="60"/>
        <n v="13"/>
        <n v="21"/>
      </sharedItems>
    </cacheField>
    <cacheField name="Progreso" numFmtId="9">
      <sharedItems containsSemiMixedTypes="0" containsString="0" containsNumber="1" minValue="0" maxValue="1"/>
    </cacheField>
    <cacheField name="Fecha Inicio" numFmtId="14">
      <sharedItems containsSemiMixedTypes="0" containsNonDate="0" containsDate="1" containsString="0" minDate="2025-09-29T00:00:00" maxDate="2025-10-24T00:00:00"/>
    </cacheField>
    <cacheField name="Fecha fin" numFmtId="14">
      <sharedItems containsSemiMixedTypes="0" containsNonDate="0" containsDate="1" containsString="0" minDate="2025-10-07T00:00:00" maxDate="2025-10-31T00:00:00"/>
    </cacheField>
    <cacheField name="Duracion Dias" numFmtId="0">
      <sharedItems containsSemiMixedTypes="0" containsString="0" containsNumber="1" containsInteger="1" minValue="6" maxValue="30"/>
    </cacheField>
    <cacheField name="%Dias" numFmtId="0">
      <sharedItems containsSemiMixedTypes="0" containsString="0" containsNumber="1" minValue="0" maxValue="7.4499999999999993"/>
    </cacheField>
  </cacheFields>
  <extLst>
    <ext xmlns:x14="http://schemas.microsoft.com/office/spreadsheetml/2009/9/main" uri="{725AE2AE-9491-48be-B2B4-4EB974FC3084}">
      <x14:pivotCacheDefinition pivotCacheId="1073599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Entregable Epica"/>
    <s v="Epica 1"/>
    <x v="0"/>
    <x v="0"/>
    <x v="0"/>
    <x v="0"/>
    <n v="0.24833333333333332"/>
    <d v="2025-09-29T00:00:00"/>
    <d v="2025-10-29T00:00:00"/>
    <n v="30"/>
    <n v="7.4499999999999993"/>
  </r>
  <r>
    <x v="0"/>
    <s v="Entregable 1"/>
    <s v="Entregable 1"/>
    <x v="1"/>
    <x v="1"/>
    <x v="1"/>
    <x v="1"/>
    <n v="0.21666666666666667"/>
    <d v="2025-09-30T00:00:00"/>
    <d v="2025-10-15T00:00:00"/>
    <n v="15"/>
    <n v="3.25"/>
  </r>
  <r>
    <x v="0"/>
    <s v="Entregable 1"/>
    <s v="Actividad 1-1"/>
    <x v="2"/>
    <x v="2"/>
    <x v="2"/>
    <x v="2"/>
    <n v="0.1"/>
    <d v="2025-10-01T00:00:00"/>
    <d v="2025-10-07T00:00:00"/>
    <n v="6"/>
    <n v="0.60000000000000009"/>
  </r>
  <r>
    <x v="0"/>
    <s v="Entregable 1"/>
    <s v="Actividad 1-2"/>
    <x v="2"/>
    <x v="1"/>
    <x v="1"/>
    <x v="3"/>
    <n v="0.2"/>
    <d v="2025-10-02T00:00:00"/>
    <d v="2025-10-08T00:00:00"/>
    <n v="6"/>
    <n v="1.2000000000000002"/>
  </r>
  <r>
    <x v="0"/>
    <s v="Entregable 1"/>
    <s v="Actividad 1-3"/>
    <x v="3"/>
    <x v="1"/>
    <x v="1"/>
    <x v="4"/>
    <n v="0"/>
    <d v="2025-10-03T00:00:00"/>
    <d v="2025-10-09T00:00:00"/>
    <n v="6"/>
    <n v="0"/>
  </r>
  <r>
    <x v="0"/>
    <s v="Entregable 1"/>
    <s v="Actividad 1-4"/>
    <x v="3"/>
    <x v="0"/>
    <x v="0"/>
    <x v="3"/>
    <n v="0"/>
    <d v="2025-10-04T00:00:00"/>
    <d v="2025-10-10T00:00:00"/>
    <n v="6"/>
    <n v="0"/>
  </r>
  <r>
    <x v="0"/>
    <s v="Entregable 1"/>
    <s v="Actividad 1-5"/>
    <x v="3"/>
    <x v="2"/>
    <x v="2"/>
    <x v="5"/>
    <n v="0"/>
    <d v="2025-10-05T00:00:00"/>
    <d v="2025-10-11T00:00:00"/>
    <n v="6"/>
    <n v="0"/>
  </r>
  <r>
    <x v="0"/>
    <s v="Entregable 1"/>
    <s v="Actividad 1-6"/>
    <x v="4"/>
    <x v="0"/>
    <x v="0"/>
    <x v="6"/>
    <n v="1"/>
    <d v="2025-10-06T00:00:00"/>
    <d v="2025-10-12T00:00:00"/>
    <n v="6"/>
    <n v="6"/>
  </r>
  <r>
    <x v="0"/>
    <s v="Entregable 2"/>
    <s v="Entregable 2"/>
    <x v="0"/>
    <x v="2"/>
    <x v="2"/>
    <x v="7"/>
    <n v="0.27999999999999997"/>
    <d v="2025-10-15T00:00:00"/>
    <d v="2025-10-30T00:00:00"/>
    <n v="15"/>
    <n v="4.1999999999999993"/>
  </r>
  <r>
    <x v="0"/>
    <s v="Entregable 2"/>
    <s v="Actividad 2-1"/>
    <x v="5"/>
    <x v="1"/>
    <x v="1"/>
    <x v="8"/>
    <n v="0.1"/>
    <d v="2025-10-17T00:00:00"/>
    <d v="2025-10-23T00:00:00"/>
    <n v="6"/>
    <n v="0.60000000000000009"/>
  </r>
  <r>
    <x v="0"/>
    <s v="Entregable 2"/>
    <s v="Actividad 2-2"/>
    <x v="5"/>
    <x v="2"/>
    <x v="2"/>
    <x v="9"/>
    <n v="0.3"/>
    <d v="2025-10-18T00:00:00"/>
    <d v="2025-10-24T00:00:00"/>
    <n v="6"/>
    <n v="1.7999999999999998"/>
  </r>
  <r>
    <x v="0"/>
    <s v="Entregable 2"/>
    <s v="Actividad 2-3"/>
    <x v="6"/>
    <x v="1"/>
    <x v="1"/>
    <x v="6"/>
    <n v="0"/>
    <d v="2025-10-19T00:00:00"/>
    <d v="2025-10-25T00:00:00"/>
    <n v="6"/>
    <n v="0"/>
  </r>
  <r>
    <x v="0"/>
    <s v="Entregable 2"/>
    <s v="Actividad 2-4"/>
    <x v="6"/>
    <x v="2"/>
    <x v="2"/>
    <x v="2"/>
    <n v="1"/>
    <d v="2025-10-20T00:00:00"/>
    <d v="2025-10-26T00:00:00"/>
    <n v="6"/>
    <n v="6"/>
  </r>
  <r>
    <x v="0"/>
    <s v="Entregable 2"/>
    <s v="Actividad 2-5"/>
    <x v="6"/>
    <x v="2"/>
    <x v="2"/>
    <x v="8"/>
    <n v="0"/>
    <d v="2025-10-23T00:00:00"/>
    <d v="2025-10-29T00:00:00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C73D-3E23-402A-85F0-D53D5A52D23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5" firstHeaderRow="1" firstDataRow="1" firstDataCol="1"/>
  <pivotFields count="12">
    <pivotField showAll="0"/>
    <pivotField showAll="0"/>
    <pivotField showAll="0"/>
    <pivotField showAll="0"/>
    <pivotField axis="axisRow" showAll="0">
      <items count="4">
        <item n="Simon" x="2"/>
        <item n="Mateo" x="1"/>
        <item x="0"/>
        <item t="default"/>
      </items>
    </pivotField>
    <pivotField showAll="0"/>
    <pivotField dataField="1" showAll="0">
      <items count="11">
        <item x="3"/>
        <item x="6"/>
        <item x="4"/>
        <item x="2"/>
        <item x="8"/>
        <item x="9"/>
        <item x="7"/>
        <item x="5"/>
        <item x="1"/>
        <item x="0"/>
        <item t="default"/>
      </items>
    </pivotField>
    <pivotField numFmtId="9" showAll="0"/>
    <pivotField numFmtId="14" showAll="0"/>
    <pivotField numFmtId="14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unto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422A-BF63-44B1-AC15-7967264F94B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8:M20" firstHeaderRow="1" firstDataRow="1" firstDataCol="1"/>
  <pivotFields count="12">
    <pivotField axis="axisRow" showAll="0">
      <items count="2">
        <item x="0"/>
        <item t="default"/>
      </items>
    </pivotField>
    <pivotField showAll="0"/>
    <pivotField dataField="1" showAll="0"/>
    <pivotField showAll="0">
      <items count="8">
        <item x="2"/>
        <item x="3"/>
        <item x="4"/>
        <item x="1"/>
        <item x="5"/>
        <item x="6"/>
        <item x="0"/>
        <item t="default"/>
      </items>
    </pivotField>
    <pivotField showAll="0"/>
    <pivotField showAll="0"/>
    <pivotField showAll="0"/>
    <pivotField numFmtId="9" showAll="0"/>
    <pivotField numFmtId="14" showAll="0"/>
    <pivotField numFmtId="14"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HA/HU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rint" xr10:uid="{EAA99129-CF6C-4C41-9B6E-A530D04616EC}" cache="SegmentaciónDeDatos_Sprint" caption="Sprint" columnCount="7" rowHeight="257175"/>
  <slicer name="Responsable" xr10:uid="{C29110C8-CB59-4F2F-B71E-099E2C767BB6}" cache="SegmentaciónDeDatos_Responsable" caption="Responsabl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21" totalsRowShown="0">
  <autoFilter ref="A3:M21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5">
      <calculatedColumnFormula>IF(Tabla1[[#This Row],[Responsable]]="Mateo","bankend",IF(Tabla1[[#This Row],[Responsable]]="Simon","Frontend","PO"))</calculatedColumnFormula>
    </tableColumn>
    <tableColumn id="12" xr3:uid="{4103DEAE-C8AE-4058-909E-25798B1924E0}" name="Puntos" dataDxfId="4">
      <calculatedColumnFormula>SUM(G5:G9)</calculatedColumnFormula>
    </tableColumn>
    <tableColumn id="6" xr3:uid="{9658A137-6834-485F-952C-FF312235ECC7}" name="Progreso" dataDxfId="3" dataCellStyle="Porcentaje"/>
    <tableColumn id="13" xr3:uid="{38B4B3E7-3039-4CC3-800F-72D7E2EAA0DC}" name="Restante" dataDxfId="2" dataCellStyle="Porcentaje">
      <calculatedColumnFormula>1-Tabla1[[#This Row],[Progreso]]</calculatedColumnFormula>
    </tableColumn>
    <tableColumn id="7" xr3:uid="{18580114-7AC3-46AF-B84D-B64C13A89444}" name="Fecha Inicio" dataDxfId="1"/>
    <tableColumn id="8" xr3:uid="{66459456-99D2-4A02-A292-EE9DE084CE52}" name="Fecha fin" dataDxfId="0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9E9-8B31-4B27-8270-0E1B05CBDDCF}">
  <dimension ref="A1:M20"/>
  <sheetViews>
    <sheetView workbookViewId="0">
      <selection activeCell="B11" sqref="B11"/>
    </sheetView>
  </sheetViews>
  <sheetFormatPr baseColWidth="10" defaultRowHeight="15" x14ac:dyDescent="0.25"/>
  <cols>
    <col min="1" max="1" width="17.85546875" bestFit="1" customWidth="1"/>
    <col min="2" max="2" width="15.42578125" bestFit="1" customWidth="1"/>
    <col min="3" max="3" width="3" bestFit="1" customWidth="1"/>
    <col min="4" max="4" width="2" bestFit="1" customWidth="1"/>
    <col min="5" max="8" width="3" bestFit="1" customWidth="1"/>
    <col min="9" max="11" width="4" bestFit="1" customWidth="1"/>
    <col min="12" max="12" width="17.85546875" bestFit="1" customWidth="1"/>
    <col min="13" max="13" width="16.85546875" bestFit="1" customWidth="1"/>
  </cols>
  <sheetData>
    <row r="1" spans="1:2" x14ac:dyDescent="0.25">
      <c r="A1" s="4" t="s">
        <v>23</v>
      </c>
      <c r="B1" t="s">
        <v>22</v>
      </c>
    </row>
    <row r="2" spans="1:2" x14ac:dyDescent="0.25">
      <c r="A2" s="5" t="s">
        <v>27</v>
      </c>
      <c r="B2">
        <v>222</v>
      </c>
    </row>
    <row r="3" spans="1:2" x14ac:dyDescent="0.25">
      <c r="A3" s="5" t="s">
        <v>32</v>
      </c>
      <c r="B3">
        <v>166</v>
      </c>
    </row>
    <row r="4" spans="1:2" x14ac:dyDescent="0.25">
      <c r="A4" s="5" t="s">
        <v>19</v>
      </c>
      <c r="B4">
        <v>279</v>
      </c>
    </row>
    <row r="5" spans="1:2" x14ac:dyDescent="0.25">
      <c r="A5" s="5" t="s">
        <v>24</v>
      </c>
      <c r="B5">
        <v>667</v>
      </c>
    </row>
    <row r="18" spans="12:13" x14ac:dyDescent="0.25">
      <c r="L18" s="4" t="s">
        <v>23</v>
      </c>
      <c r="M18" t="s">
        <v>26</v>
      </c>
    </row>
    <row r="19" spans="12:13" x14ac:dyDescent="0.25">
      <c r="L19" s="5" t="s">
        <v>9</v>
      </c>
      <c r="M19">
        <v>14</v>
      </c>
    </row>
    <row r="20" spans="12:13" x14ac:dyDescent="0.25">
      <c r="L20" s="5" t="s">
        <v>24</v>
      </c>
      <c r="M20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M21"/>
  <sheetViews>
    <sheetView tabSelected="1" zoomScale="130" zoomScaleNormal="130" workbookViewId="0">
      <selection activeCell="G23" sqref="G23"/>
    </sheetView>
  </sheetViews>
  <sheetFormatPr baseColWidth="10" defaultRowHeight="15" x14ac:dyDescent="0.25"/>
  <cols>
    <col min="2" max="2" width="17.85546875" customWidth="1"/>
    <col min="3" max="4" width="13.28515625" customWidth="1"/>
    <col min="5" max="5" width="14.85546875" customWidth="1"/>
    <col min="6" max="6" width="8.85546875" bestFit="1" customWidth="1"/>
    <col min="7" max="7" width="8.85546875" customWidth="1"/>
    <col min="10" max="10" width="13.85546875" customWidth="1"/>
    <col min="12" max="12" width="15.7109375" customWidth="1"/>
    <col min="13" max="13" width="13.7109375" customWidth="1"/>
  </cols>
  <sheetData>
    <row r="1" spans="1:13" ht="328.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25">
      <c r="A3" t="s">
        <v>0</v>
      </c>
      <c r="B3" t="s">
        <v>1</v>
      </c>
      <c r="C3" t="s">
        <v>2</v>
      </c>
      <c r="D3" t="s">
        <v>17</v>
      </c>
      <c r="E3" t="s">
        <v>3</v>
      </c>
      <c r="F3" t="s">
        <v>20</v>
      </c>
      <c r="G3" t="s">
        <v>21</v>
      </c>
      <c r="H3" t="s">
        <v>4</v>
      </c>
      <c r="I3" t="s">
        <v>25</v>
      </c>
      <c r="J3" t="s">
        <v>5</v>
      </c>
      <c r="K3" t="s">
        <v>6</v>
      </c>
      <c r="L3" t="s">
        <v>18</v>
      </c>
      <c r="M3" t="s">
        <v>7</v>
      </c>
    </row>
    <row r="4" spans="1:13" x14ac:dyDescent="0.25">
      <c r="A4" t="s">
        <v>9</v>
      </c>
      <c r="B4" t="s">
        <v>16</v>
      </c>
      <c r="C4" s="3" t="s">
        <v>9</v>
      </c>
      <c r="D4">
        <v>1</v>
      </c>
      <c r="E4" t="s">
        <v>27</v>
      </c>
      <c r="F4" t="str">
        <f>IF(Tabla1[[#This Row],[Responsable]]="Mateo","bankend",IF(Tabla1[[#This Row],[Responsable]]="Simon","Frontend","PO"))</f>
        <v>Frontend</v>
      </c>
      <c r="G4">
        <f>SUM(G5:G9)</f>
        <v>42</v>
      </c>
      <c r="H4" s="2">
        <v>1</v>
      </c>
      <c r="I4" s="2">
        <f>1-Tabla1[[#This Row],[Progreso]]</f>
        <v>0</v>
      </c>
      <c r="J4" s="1">
        <v>45962</v>
      </c>
      <c r="K4" s="1">
        <f>J4+L4</f>
        <v>45967</v>
      </c>
      <c r="L4">
        <v>5</v>
      </c>
      <c r="M4">
        <f>L4*H4</f>
        <v>5</v>
      </c>
    </row>
    <row r="5" spans="1:13" x14ac:dyDescent="0.25">
      <c r="A5" t="s">
        <v>9</v>
      </c>
      <c r="B5" t="s">
        <v>8</v>
      </c>
      <c r="C5" t="s">
        <v>8</v>
      </c>
      <c r="D5">
        <v>2</v>
      </c>
      <c r="E5" t="s">
        <v>32</v>
      </c>
      <c r="F5" t="str">
        <f>IF(Tabla1[[#This Row],[Responsable]]="Mateo","bankend",IF(Tabla1[[#This Row],[Responsable]]="Simon","Frontend","PO"))</f>
        <v>bankend</v>
      </c>
      <c r="G5">
        <f>SUM(G6:G9)</f>
        <v>21</v>
      </c>
      <c r="H5" s="2">
        <v>1</v>
      </c>
      <c r="I5" s="2">
        <f>1-Tabla1[[#This Row],[Progreso]]</f>
        <v>0</v>
      </c>
      <c r="J5" s="1">
        <v>45962</v>
      </c>
      <c r="K5" s="1">
        <f t="shared" ref="K5:K15" si="0">J5+L5</f>
        <v>45967</v>
      </c>
      <c r="L5">
        <v>5</v>
      </c>
      <c r="M5">
        <f t="shared" ref="M5:M15" si="1">L5*H5</f>
        <v>5</v>
      </c>
    </row>
    <row r="6" spans="1:13" x14ac:dyDescent="0.25">
      <c r="A6" t="s">
        <v>9</v>
      </c>
      <c r="B6" t="s">
        <v>8</v>
      </c>
      <c r="C6" t="s">
        <v>31</v>
      </c>
      <c r="D6">
        <v>3</v>
      </c>
      <c r="E6" t="s">
        <v>32</v>
      </c>
      <c r="F6" t="str">
        <f>IF(Tabla1[[#This Row],[Responsable]]="Mateo","bankend",IF(Tabla1[[#This Row],[Responsable]]="Simon","Frontend","PO"))</f>
        <v>bankend</v>
      </c>
      <c r="G6">
        <v>8</v>
      </c>
      <c r="H6" s="2">
        <v>1</v>
      </c>
      <c r="I6" s="2">
        <f>1-Tabla1[[#This Row],[Progreso]]</f>
        <v>0</v>
      </c>
      <c r="J6" s="1">
        <v>45962</v>
      </c>
      <c r="K6" s="1">
        <f t="shared" si="0"/>
        <v>45963</v>
      </c>
      <c r="L6">
        <v>1</v>
      </c>
      <c r="M6">
        <f t="shared" si="1"/>
        <v>1</v>
      </c>
    </row>
    <row r="7" spans="1:13" x14ac:dyDescent="0.25">
      <c r="A7" t="s">
        <v>9</v>
      </c>
      <c r="B7" t="s">
        <v>8</v>
      </c>
      <c r="C7" t="s">
        <v>28</v>
      </c>
      <c r="D7">
        <v>4</v>
      </c>
      <c r="E7" t="s">
        <v>27</v>
      </c>
      <c r="F7" t="str">
        <f>IF(Tabla1[[#This Row],[Responsable]]="Mateo","bankend",IF(Tabla1[[#This Row],[Responsable]]="Simon","Frontend","PO"))</f>
        <v>Frontend</v>
      </c>
      <c r="G7">
        <v>3</v>
      </c>
      <c r="H7" s="2">
        <v>1</v>
      </c>
      <c r="I7" s="2">
        <f>1-Tabla1[[#This Row],[Progreso]]</f>
        <v>0</v>
      </c>
      <c r="J7" s="1">
        <v>45932</v>
      </c>
      <c r="K7" s="1">
        <f t="shared" si="0"/>
        <v>45934</v>
      </c>
      <c r="L7">
        <v>2</v>
      </c>
      <c r="M7">
        <f t="shared" si="1"/>
        <v>2</v>
      </c>
    </row>
    <row r="8" spans="1:13" x14ac:dyDescent="0.25">
      <c r="A8" t="s">
        <v>9</v>
      </c>
      <c r="B8" t="s">
        <v>8</v>
      </c>
      <c r="C8" t="s">
        <v>29</v>
      </c>
      <c r="D8">
        <v>5</v>
      </c>
      <c r="E8" t="s">
        <v>27</v>
      </c>
      <c r="F8" t="str">
        <f>IF(Tabla1[[#This Row],[Responsable]]="Mateo","bankend",IF(Tabla1[[#This Row],[Responsable]]="Simon","Frontend","PO"))</f>
        <v>Frontend</v>
      </c>
      <c r="G8">
        <v>7</v>
      </c>
      <c r="H8" s="2">
        <v>1</v>
      </c>
      <c r="I8" s="2">
        <f>1-Tabla1[[#This Row],[Progreso]]</f>
        <v>0</v>
      </c>
      <c r="J8" s="1">
        <v>45933</v>
      </c>
      <c r="K8" s="1">
        <f t="shared" si="0"/>
        <v>45934</v>
      </c>
      <c r="L8">
        <v>1</v>
      </c>
      <c r="M8">
        <f t="shared" si="1"/>
        <v>1</v>
      </c>
    </row>
    <row r="9" spans="1:13" x14ac:dyDescent="0.25">
      <c r="A9" t="s">
        <v>9</v>
      </c>
      <c r="B9" t="s">
        <v>8</v>
      </c>
      <c r="C9" t="s">
        <v>30</v>
      </c>
      <c r="D9">
        <v>6</v>
      </c>
      <c r="E9" t="s">
        <v>32</v>
      </c>
      <c r="F9" t="str">
        <f>IF(Tabla1[[#This Row],[Responsable]]="Mateo","bankend",IF(Tabla1[[#This Row],[Responsable]]="Simon","Frontend","PO"))</f>
        <v>bankend</v>
      </c>
      <c r="G9">
        <v>3</v>
      </c>
      <c r="H9" s="2">
        <v>1</v>
      </c>
      <c r="I9" s="2">
        <f>1-Tabla1[[#This Row],[Progreso]]</f>
        <v>0</v>
      </c>
      <c r="J9" s="1">
        <v>45965</v>
      </c>
      <c r="K9" s="1">
        <f t="shared" si="0"/>
        <v>45966</v>
      </c>
      <c r="L9">
        <v>1</v>
      </c>
      <c r="M9">
        <f t="shared" si="1"/>
        <v>1</v>
      </c>
    </row>
    <row r="10" spans="1:13" x14ac:dyDescent="0.25">
      <c r="A10" t="s">
        <v>9</v>
      </c>
      <c r="B10" t="s">
        <v>10</v>
      </c>
      <c r="C10" t="s">
        <v>10</v>
      </c>
      <c r="D10">
        <v>7</v>
      </c>
      <c r="E10" t="s">
        <v>27</v>
      </c>
      <c r="F10" t="str">
        <f>IF(Tabla1[[#This Row],[Responsable]]="Mateo","bankend",IF(Tabla1[[#This Row],[Responsable]]="Simon","Frontend","PO"))</f>
        <v>Frontend</v>
      </c>
      <c r="G10">
        <f t="shared" ref="G10" si="2">SUM(G11:G16)</f>
        <v>120</v>
      </c>
      <c r="H10" s="2">
        <v>0</v>
      </c>
      <c r="I10" s="2">
        <f>1-Tabla1[[#This Row],[Progreso]]</f>
        <v>1</v>
      </c>
      <c r="J10" s="1">
        <v>45966</v>
      </c>
      <c r="K10" s="1">
        <f t="shared" si="0"/>
        <v>45981</v>
      </c>
      <c r="L10">
        <v>15</v>
      </c>
      <c r="M10">
        <f t="shared" si="1"/>
        <v>0</v>
      </c>
    </row>
    <row r="11" spans="1:13" x14ac:dyDescent="0.25">
      <c r="A11" t="s">
        <v>9</v>
      </c>
      <c r="B11" t="s">
        <v>10</v>
      </c>
      <c r="C11" t="s">
        <v>11</v>
      </c>
      <c r="D11">
        <v>8</v>
      </c>
      <c r="E11" t="s">
        <v>32</v>
      </c>
      <c r="F11" t="str">
        <f>IF(Tabla1[[#This Row],[Responsable]]="Mateo","bankend",IF(Tabla1[[#This Row],[Responsable]]="Simon","Frontend","PO"))</f>
        <v>bankend</v>
      </c>
      <c r="G11">
        <v>13</v>
      </c>
      <c r="H11" s="2">
        <v>0</v>
      </c>
      <c r="I11" s="2">
        <f>1-Tabla1[[#This Row],[Progreso]]</f>
        <v>1</v>
      </c>
      <c r="J11" s="1">
        <v>45967</v>
      </c>
      <c r="K11" s="1">
        <f t="shared" si="0"/>
        <v>45973</v>
      </c>
      <c r="L11">
        <v>6</v>
      </c>
      <c r="M11">
        <f t="shared" si="1"/>
        <v>0</v>
      </c>
    </row>
    <row r="12" spans="1:13" x14ac:dyDescent="0.25">
      <c r="A12" t="s">
        <v>9</v>
      </c>
      <c r="B12" t="s">
        <v>10</v>
      </c>
      <c r="C12" t="s">
        <v>12</v>
      </c>
      <c r="D12">
        <v>9</v>
      </c>
      <c r="E12" t="s">
        <v>27</v>
      </c>
      <c r="F12" t="str">
        <f>IF(Tabla1[[#This Row],[Responsable]]="Mateo","bankend",IF(Tabla1[[#This Row],[Responsable]]="Simon","Frontend","PO"))</f>
        <v>Frontend</v>
      </c>
      <c r="G12">
        <v>21</v>
      </c>
      <c r="H12" s="2">
        <v>0</v>
      </c>
      <c r="I12" s="2">
        <f>1-Tabla1[[#This Row],[Progreso]]</f>
        <v>1</v>
      </c>
      <c r="J12" s="1">
        <v>45968</v>
      </c>
      <c r="K12" s="1">
        <f t="shared" si="0"/>
        <v>45974</v>
      </c>
      <c r="L12">
        <v>6</v>
      </c>
      <c r="M12">
        <f t="shared" si="1"/>
        <v>0</v>
      </c>
    </row>
    <row r="13" spans="1:13" x14ac:dyDescent="0.25">
      <c r="A13" t="s">
        <v>9</v>
      </c>
      <c r="B13" t="s">
        <v>10</v>
      </c>
      <c r="C13" t="s">
        <v>13</v>
      </c>
      <c r="D13">
        <v>10</v>
      </c>
      <c r="E13" t="s">
        <v>32</v>
      </c>
      <c r="F13" t="str">
        <f>IF(Tabla1[[#This Row],[Responsable]]="Mateo","bankend",IF(Tabla1[[#This Row],[Responsable]]="Simon","Frontend","PO"))</f>
        <v>bankend</v>
      </c>
      <c r="G13">
        <v>5</v>
      </c>
      <c r="H13" s="2">
        <v>0</v>
      </c>
      <c r="I13" s="2">
        <f>1-Tabla1[[#This Row],[Progreso]]</f>
        <v>1</v>
      </c>
      <c r="J13" s="1">
        <v>45969</v>
      </c>
      <c r="K13" s="1">
        <f t="shared" si="0"/>
        <v>45975</v>
      </c>
      <c r="L13">
        <v>6</v>
      </c>
      <c r="M13">
        <f t="shared" si="1"/>
        <v>0</v>
      </c>
    </row>
    <row r="14" spans="1:13" x14ac:dyDescent="0.25">
      <c r="A14" t="s">
        <v>9</v>
      </c>
      <c r="B14" t="s">
        <v>10</v>
      </c>
      <c r="C14" t="s">
        <v>14</v>
      </c>
      <c r="D14">
        <v>11</v>
      </c>
      <c r="E14" t="s">
        <v>27</v>
      </c>
      <c r="F14" t="str">
        <f>IF(Tabla1[[#This Row],[Responsable]]="Mateo","bankend",IF(Tabla1[[#This Row],[Responsable]]="Simon","Frontend","PO"))</f>
        <v>Frontend</v>
      </c>
      <c r="G14">
        <v>8</v>
      </c>
      <c r="H14" s="2">
        <v>0</v>
      </c>
      <c r="I14" s="2">
        <f>1-Tabla1[[#This Row],[Progreso]]</f>
        <v>1</v>
      </c>
      <c r="J14" s="1">
        <v>45970</v>
      </c>
      <c r="K14" s="1">
        <f t="shared" si="0"/>
        <v>45976</v>
      </c>
      <c r="L14">
        <v>6</v>
      </c>
      <c r="M14">
        <f t="shared" si="1"/>
        <v>0</v>
      </c>
    </row>
    <row r="15" spans="1:13" x14ac:dyDescent="0.25">
      <c r="A15" t="s">
        <v>9</v>
      </c>
      <c r="B15" t="s">
        <v>10</v>
      </c>
      <c r="C15" t="s">
        <v>15</v>
      </c>
      <c r="D15">
        <v>12</v>
      </c>
      <c r="E15" t="s">
        <v>32</v>
      </c>
      <c r="F15" t="str">
        <f>IF(Tabla1[[#This Row],[Responsable]]="Mateo","bankend",IF(Tabla1[[#This Row],[Responsable]]="Simon","Frontend","PO"))</f>
        <v>bankend</v>
      </c>
      <c r="G15">
        <v>13</v>
      </c>
      <c r="H15" s="2">
        <v>0</v>
      </c>
      <c r="I15" s="2">
        <f>1-Tabla1[[#This Row],[Progreso]]</f>
        <v>1</v>
      </c>
      <c r="J15" s="1">
        <v>45971</v>
      </c>
      <c r="K15" s="1">
        <f t="shared" si="0"/>
        <v>45977</v>
      </c>
      <c r="L15">
        <v>6</v>
      </c>
      <c r="M15">
        <f t="shared" si="1"/>
        <v>0</v>
      </c>
    </row>
    <row r="16" spans="1:13" x14ac:dyDescent="0.25">
      <c r="A16" t="s">
        <v>9</v>
      </c>
      <c r="B16" t="s">
        <v>33</v>
      </c>
      <c r="C16" t="s">
        <v>33</v>
      </c>
      <c r="D16">
        <v>13</v>
      </c>
      <c r="E16" t="s">
        <v>27</v>
      </c>
      <c r="F16" t="str">
        <f>IF(Tabla1[[#This Row],[Responsable]]="Mateo","bankend",IF(Tabla1[[#This Row],[Responsable]]="Simon","Frontend","PO"))</f>
        <v>Frontend</v>
      </c>
      <c r="G16">
        <f t="shared" ref="G16" si="3">SUM(G17:G22)</f>
        <v>60</v>
      </c>
      <c r="H16" s="2">
        <v>0</v>
      </c>
      <c r="I16" s="2">
        <f>1-Tabla1[[#This Row],[Progreso]]</f>
        <v>1</v>
      </c>
      <c r="J16" s="1">
        <v>45966</v>
      </c>
      <c r="K16" s="1">
        <f t="shared" ref="K16:K21" si="4">J16+L16</f>
        <v>45981</v>
      </c>
      <c r="L16">
        <v>15</v>
      </c>
      <c r="M16">
        <f t="shared" ref="M16:M21" si="5">L16*H16</f>
        <v>0</v>
      </c>
    </row>
    <row r="17" spans="1:13" x14ac:dyDescent="0.25">
      <c r="A17" t="s">
        <v>9</v>
      </c>
      <c r="B17" t="s">
        <v>33</v>
      </c>
      <c r="C17" t="s">
        <v>34</v>
      </c>
      <c r="D17">
        <v>14</v>
      </c>
      <c r="E17" t="s">
        <v>32</v>
      </c>
      <c r="F17" t="str">
        <f>IF(Tabla1[[#This Row],[Responsable]]="Mateo","bankend",IF(Tabla1[[#This Row],[Responsable]]="Simon","Frontend","PO"))</f>
        <v>bankend</v>
      </c>
      <c r="G17">
        <v>13</v>
      </c>
      <c r="H17" s="2">
        <v>0</v>
      </c>
      <c r="I17" s="2">
        <f>1-Tabla1[[#This Row],[Progreso]]</f>
        <v>1</v>
      </c>
      <c r="J17" s="1">
        <v>45967</v>
      </c>
      <c r="K17" s="1">
        <f t="shared" si="4"/>
        <v>45973</v>
      </c>
      <c r="L17">
        <v>6</v>
      </c>
      <c r="M17">
        <f t="shared" si="5"/>
        <v>0</v>
      </c>
    </row>
    <row r="18" spans="1:13" x14ac:dyDescent="0.25">
      <c r="A18" t="s">
        <v>9</v>
      </c>
      <c r="B18" t="s">
        <v>33</v>
      </c>
      <c r="C18" t="s">
        <v>35</v>
      </c>
      <c r="D18">
        <v>15</v>
      </c>
      <c r="E18" t="s">
        <v>27</v>
      </c>
      <c r="F18" t="str">
        <f>IF(Tabla1[[#This Row],[Responsable]]="Mateo","bankend",IF(Tabla1[[#This Row],[Responsable]]="Simon","Frontend","PO"))</f>
        <v>Frontend</v>
      </c>
      <c r="G18">
        <v>21</v>
      </c>
      <c r="H18" s="2">
        <v>0</v>
      </c>
      <c r="I18" s="2">
        <f>1-Tabla1[[#This Row],[Progreso]]</f>
        <v>1</v>
      </c>
      <c r="J18" s="1">
        <v>45968</v>
      </c>
      <c r="K18" s="1">
        <f t="shared" si="4"/>
        <v>45974</v>
      </c>
      <c r="L18">
        <v>6</v>
      </c>
      <c r="M18">
        <f t="shared" si="5"/>
        <v>0</v>
      </c>
    </row>
    <row r="19" spans="1:13" x14ac:dyDescent="0.25">
      <c r="A19" t="s">
        <v>9</v>
      </c>
      <c r="B19" t="s">
        <v>33</v>
      </c>
      <c r="C19" t="s">
        <v>36</v>
      </c>
      <c r="D19">
        <v>16</v>
      </c>
      <c r="E19" t="s">
        <v>32</v>
      </c>
      <c r="F19" t="str">
        <f>IF(Tabla1[[#This Row],[Responsable]]="Mateo","bankend",IF(Tabla1[[#This Row],[Responsable]]="Simon","Frontend","PO"))</f>
        <v>bankend</v>
      </c>
      <c r="G19">
        <v>5</v>
      </c>
      <c r="H19" s="2">
        <v>0</v>
      </c>
      <c r="I19" s="2">
        <f>1-Tabla1[[#This Row],[Progreso]]</f>
        <v>1</v>
      </c>
      <c r="J19" s="1">
        <v>45969</v>
      </c>
      <c r="K19" s="1">
        <f t="shared" si="4"/>
        <v>45975</v>
      </c>
      <c r="L19">
        <v>6</v>
      </c>
      <c r="M19">
        <f t="shared" si="5"/>
        <v>0</v>
      </c>
    </row>
    <row r="20" spans="1:13" x14ac:dyDescent="0.25">
      <c r="A20" t="s">
        <v>9</v>
      </c>
      <c r="B20" t="s">
        <v>33</v>
      </c>
      <c r="C20" t="s">
        <v>37</v>
      </c>
      <c r="D20">
        <v>17</v>
      </c>
      <c r="E20" t="s">
        <v>27</v>
      </c>
      <c r="F20" t="str">
        <f>IF(Tabla1[[#This Row],[Responsable]]="Mateo","bankend",IF(Tabla1[[#This Row],[Responsable]]="Simon","Frontend","PO"))</f>
        <v>Frontend</v>
      </c>
      <c r="G20">
        <v>8</v>
      </c>
      <c r="H20" s="2">
        <v>0</v>
      </c>
      <c r="I20" s="2">
        <f>1-Tabla1[[#This Row],[Progreso]]</f>
        <v>1</v>
      </c>
      <c r="J20" s="1">
        <v>45970</v>
      </c>
      <c r="K20" s="1">
        <f t="shared" si="4"/>
        <v>45976</v>
      </c>
      <c r="L20">
        <v>6</v>
      </c>
      <c r="M20">
        <f t="shared" si="5"/>
        <v>0</v>
      </c>
    </row>
    <row r="21" spans="1:13" x14ac:dyDescent="0.25">
      <c r="A21" t="s">
        <v>9</v>
      </c>
      <c r="B21" t="s">
        <v>33</v>
      </c>
      <c r="C21" t="s">
        <v>38</v>
      </c>
      <c r="D21">
        <v>18</v>
      </c>
      <c r="E21" t="s">
        <v>32</v>
      </c>
      <c r="F21" t="str">
        <f>IF(Tabla1[[#This Row],[Responsable]]="Mateo","bankend",IF(Tabla1[[#This Row],[Responsable]]="Simon","Frontend","PO"))</f>
        <v>bankend</v>
      </c>
      <c r="G21">
        <v>13</v>
      </c>
      <c r="H21" s="2">
        <v>0</v>
      </c>
      <c r="I21" s="2">
        <f>1-Tabla1[[#This Row],[Progreso]]</f>
        <v>1</v>
      </c>
      <c r="J21" s="1">
        <v>45971</v>
      </c>
      <c r="K21" s="1">
        <f t="shared" si="4"/>
        <v>45977</v>
      </c>
      <c r="L21">
        <v>6</v>
      </c>
      <c r="M21">
        <f t="shared" si="5"/>
        <v>0</v>
      </c>
    </row>
  </sheetData>
  <mergeCells count="1">
    <mergeCell ref="A1:M1"/>
  </mergeCells>
  <phoneticPr fontId="3" type="noConversion"/>
  <dataValidations count="1">
    <dataValidation type="list" allowBlank="1" showInputMessage="1" showErrorMessage="1" sqref="E3:E21" xr:uid="{C3E85B09-0F88-43BB-B58B-1F5833C161E8}">
      <formula1>"Simon,Mateo"</formula1>
    </dataValidation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nel we</cp:lastModifiedBy>
  <dcterms:created xsi:type="dcterms:W3CDTF">2025-09-29T22:51:52Z</dcterms:created>
  <dcterms:modified xsi:type="dcterms:W3CDTF">2025-11-08T21:44:22Z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